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3EB96367-3A9E-4378-94F9-05E38592B9D6}" xr6:coauthVersionLast="47" xr6:coauthVersionMax="47" xr10:uidLastSave="{00000000-0000-0000-0000-000000000000}"/>
  <bookViews>
    <workbookView xWindow="-28920" yWindow="-75" windowWidth="29040" windowHeight="15720" firstSheet="4" activeTab="5" xr2:uid="{00000000-000D-0000-FFFF-FFFF00000000}"/>
  </bookViews>
  <sheets>
    <sheet name="Index" sheetId="23" r:id="rId1"/>
    <sheet name="Table 4.1a-f" sheetId="4" r:id="rId2"/>
    <sheet name="Table 4.2" sheetId="5" r:id="rId3"/>
    <sheet name="Table 4.3" sheetId="6" r:id="rId4"/>
    <sheet name="Table 4.4" sheetId="7" r:id="rId5"/>
    <sheet name="Table 4.5" sheetId="8" r:id="rId6"/>
    <sheet name="Table 4.6a-c" sheetId="20" r:id="rId7"/>
    <sheet name="Table 4.7" sheetId="13" r:id="rId8"/>
    <sheet name="Table 4.8" sheetId="14" r:id="rId9"/>
    <sheet name="Table 4.9a-i" sheetId="22" r:id="rId10"/>
    <sheet name="Table 4.10a-i " sheetId="16" r:id="rId11"/>
    <sheet name="Table 4.11a-i" sheetId="19" r:id="rId12"/>
    <sheet name="Table 4.12" sheetId="17" r:id="rId13"/>
    <sheet name="Table 4.13" sheetId="18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 hidden="1">{"Income-Directorate",#N/A,FALSE,"Trend - Income"}</definedName>
    <definedName name="BEx3O85IKWARA6NCJOLRBRJFMEWW" localSheetId="0" hidden="1">[1]UR!#REF!</definedName>
    <definedName name="BEx3O85IKWARA6NCJOLRBRJFMEWW" localSheetId="6" hidden="1">[1]UR!#REF!</definedName>
    <definedName name="BEx3O85IKWARA6NCJOLRBRJFMEWW" hidden="1">[1]UR!#REF!</definedName>
    <definedName name="BEx5MLQZM68YQSKARVWTTPINFQ2C" localSheetId="0" hidden="1">[1]UR!#REF!</definedName>
    <definedName name="BEx5MLQZM68YQSKARVWTTPINFQ2C" localSheetId="6" hidden="1">[1]UR!#REF!</definedName>
    <definedName name="BEx5MLQZM68YQSKARVWTTPINFQ2C" hidden="1">[1]UR!#REF!</definedName>
    <definedName name="BExERWCEBKQRYWRQLYJ4UCMMKTHG" localSheetId="6" hidden="1">[1]UR!#REF!</definedName>
    <definedName name="BExERWCEBKQRYWRQLYJ4UCMMKTHG" hidden="1">[1]UR!#REF!</definedName>
    <definedName name="BExMBYPQDG9AYDQ5E8IECVFREPO6" localSheetId="6" hidden="1">[1]UR!#REF!</definedName>
    <definedName name="BExMBYPQDG9AYDQ5E8IECVFREPO6" hidden="1">[1]UR!#REF!</definedName>
    <definedName name="BExQ9ZLYHWABXAA9NJDW8ZS0UQ9P" localSheetId="6" hidden="1">[1]UR!#REF!</definedName>
    <definedName name="BExQ9ZLYHWABXAA9NJDW8ZS0UQ9P" hidden="1">[1]UR!#REF!</definedName>
    <definedName name="BExTUY9WNSJ91GV8CP0SKJTEIV82" hidden="1">[1]UR!#REF!</definedName>
    <definedName name="bsg" localSheetId="9">'[2]Corp Ref'!$B$31</definedName>
    <definedName name="bsg">'[3]Corp Ref'!$B$31</definedName>
    <definedName name="busref" localSheetId="9">'[2]Corp Ref'!$B$30</definedName>
    <definedName name="busref">'[3]Corp Ref'!$B$30</definedName>
    <definedName name="CAMERA" localSheetId="9">'[2]LRF REf'!$B$35</definedName>
    <definedName name="CAMERA">'[3]LRF REf'!$B$35</definedName>
    <definedName name="Cashback1" localSheetId="9">'[2]FIN REf'!$B$37</definedName>
    <definedName name="Cashback1">'[3]FIN REf'!$B$37</definedName>
    <definedName name="cashback2" localSheetId="9">'[2]FIN REf'!$C$37</definedName>
    <definedName name="cashback2">'[3]FIN REf'!$C$37</definedName>
    <definedName name="cashbackskill" localSheetId="9">'[2]FIN REf'!$B$29</definedName>
    <definedName name="cashbackskill">'[3]FIN REf'!$B$29</definedName>
    <definedName name="CE" localSheetId="9">'[2]CE REF'!$A$5</definedName>
    <definedName name="CE">'[3]CE REF'!$A$5</definedName>
    <definedName name="chief" localSheetId="9">'[2]CE REF'!$A$5</definedName>
    <definedName name="chief">'[3]CE REF'!$A$5</definedName>
    <definedName name="civiltrainees" localSheetId="9">'[2]OPS REF'!$A$39:$B$40</definedName>
    <definedName name="civiltrainees">'[3]OPS REF'!$A$39:$B$40</definedName>
    <definedName name="COMPLIANCE" localSheetId="9">'[2]LRF REf'!$B$36</definedName>
    <definedName name="COMPLIANCE">'[3]LRF REf'!$B$36</definedName>
    <definedName name="copr" localSheetId="9">'[2]Corp Ref'!$A$8</definedName>
    <definedName name="copr">'[3]Corp Ref'!$A$8</definedName>
    <definedName name="corp" localSheetId="9">'[2]Corp Ref'!$A$6</definedName>
    <definedName name="corp">'[3]Corp Ref'!$A$6</definedName>
    <definedName name="date">'[4]Control Sheet'!$B$2</definedName>
    <definedName name="DF_GRID_1">#REF!</definedName>
    <definedName name="DF_NAVPANEL_13">#REF!</definedName>
    <definedName name="DF_NAVPANEL_18">#REF!</definedName>
    <definedName name="DIR" localSheetId="9">+'[2]OPS REF'!$B$27</definedName>
    <definedName name="DIR">+'[3]OPS REF'!$B$27</definedName>
    <definedName name="DVS" localSheetId="9">'[2]LRF REf'!$B$37</definedName>
    <definedName name="DVS">'[3]LRF REf'!$B$37</definedName>
    <definedName name="env" localSheetId="9">'[2]OPS REF'!$B$28</definedName>
    <definedName name="env">'[3]OPS REF'!$B$28</definedName>
    <definedName name="FIN" localSheetId="9">'[2]FIN REf'!$A$5</definedName>
    <definedName name="FIN">'[3]FIN REf'!$A$5</definedName>
    <definedName name="Governance" localSheetId="9">'[2]CE REF'!$B$9</definedName>
    <definedName name="Governance">'[3]CE REF'!$B$9</definedName>
    <definedName name="graduate" localSheetId="9">'[2]Corp Ref'!$Z$5:$Z$6</definedName>
    <definedName name="graduate">'[3]Corp Ref'!$Z$5:$Z$6</definedName>
    <definedName name="HR" localSheetId="9">'[2]Corp Ref'!$B$32</definedName>
    <definedName name="HR">'[3]Corp Ref'!$B$32</definedName>
    <definedName name="hun" localSheetId="9">'[2]OPS REF'!$B$31</definedName>
    <definedName name="hun">'[3]OPS REF'!$B$31</definedName>
    <definedName name="imit" localSheetId="9">'[2]Corp Ref'!$B$33</definedName>
    <definedName name="imit">'[3]Corp Ref'!$B$33</definedName>
    <definedName name="legal" localSheetId="9">'[2]CE REF'!$B$7</definedName>
    <definedName name="legal">'[3]CE REF'!$B$7</definedName>
    <definedName name="LOLD">1</definedName>
    <definedName name="LOLD_Table">25</definedName>
    <definedName name="LRF" localSheetId="9">'[2]REf Control'!$G$12</definedName>
    <definedName name="LRF">'[3]REf Control'!$G$12</definedName>
    <definedName name="LRFBUS" localSheetId="9">'[2]LRF REf'!$B$34</definedName>
    <definedName name="LRFBUS">'[3]LRF REf'!$B$34</definedName>
    <definedName name="Maj" localSheetId="9">'[2]MAj Ref4'!$A$6</definedName>
    <definedName name="Maj">'[3]MAj Ref4'!$A$6</definedName>
    <definedName name="nor" localSheetId="9">'[2]OPS REF'!$B$32</definedName>
    <definedName name="nor">'[3]OPS REF'!$B$32</definedName>
    <definedName name="NTP" localSheetId="9">'[2]LRF REf'!$B$28</definedName>
    <definedName name="NTP">'[3]LRF REf'!$B$28</definedName>
    <definedName name="ohs" localSheetId="9">'[2]Corp Ref'!$B$34</definedName>
    <definedName name="ohs">'[3]Corp Ref'!$B$34</definedName>
    <definedName name="_xlnm.Print_Area" localSheetId="10">'Table 4.10a-i '!$A$62:$H$507</definedName>
    <definedName name="_xlnm.Print_Area" localSheetId="12">'Table 4.12'!$A$1:$H$34</definedName>
    <definedName name="_xlnm.Print_Area" localSheetId="2">'Table 4.2'!$A$1:$I$63</definedName>
    <definedName name="_xlnm.Print_Area" localSheetId="3">'Table 4.3'!$A$1:$K$64</definedName>
    <definedName name="_xlnm.Print_Area" localSheetId="4">'Table 4.4'!$A$1:$K$64</definedName>
    <definedName name="_xlnm.Print_Area" localSheetId="5">'Table 4.5'!$A$1:$E$14</definedName>
    <definedName name="_xlnm.Print_Area" localSheetId="6">'Table 4.6a-c'!$A$1:$J$63</definedName>
    <definedName name="_xlnm.Print_Area" localSheetId="7">'Table 4.7'!$A$1:$F$40</definedName>
    <definedName name="_xlnm.Print_Area" localSheetId="8">'Table 4.8'!$A$1:$K$40</definedName>
    <definedName name="_xlnm.Print_Area" localSheetId="9">'Table 4.9a-i'!$A$1:$K$522</definedName>
    <definedName name="records" localSheetId="9">'[2]Corp Ref'!$B$35</definedName>
    <definedName name="records">'[3]Corp Ref'!$B$35</definedName>
    <definedName name="report_title" localSheetId="9">[5]Cover!$E$2</definedName>
    <definedName name="report_title">[6]Cover!$E$2</definedName>
    <definedName name="rjk" localSheetId="0" hidden="1">{"Income-Directorate",#N/A,FALSE,"Trend - Income"}</definedName>
    <definedName name="rjk" localSheetId="6" hidden="1">{"Income-Directorate",#N/A,FALSE,"Trend - Income"}</definedName>
    <definedName name="rjk" localSheetId="9" hidden="1">{"Income-Directorate",#N/A,FALSE,"Trend - Income"}</definedName>
    <definedName name="rjk" hidden="1">{"Income-Directorate",#N/A,FALSE,"Trend - Income"}</definedName>
    <definedName name="road" localSheetId="9">'[2]OPS REF'!$B$30</definedName>
    <definedName name="road">'[3]OPS REF'!$B$30</definedName>
    <definedName name="ROADUSER" localSheetId="9">'[2]LRF REf'!$B$40</definedName>
    <definedName name="ROADUSER">'[3]LRF REf'!$B$40</definedName>
    <definedName name="SANCTIONS" localSheetId="9">'[2]LRF REf'!$B$39</definedName>
    <definedName name="SANCTIONS">'[3]LRF REf'!$B$39</definedName>
    <definedName name="SAPBEXhrIndnt" hidden="1">"Wide"</definedName>
    <definedName name="SAPBEXrevision" hidden="1">18</definedName>
    <definedName name="SAPBEXsysID" hidden="1">"BWP"</definedName>
    <definedName name="SAPBEXwbID" hidden="1">"42VCDMDUE9NMI6TX85PZPAIHQ"</definedName>
    <definedName name="SAPsysID" hidden="1">"708C5W7SBKP804JT78WJ0JNKI"</definedName>
    <definedName name="SAPwbID" hidden="1">"ARS"</definedName>
    <definedName name="sou" localSheetId="9">'[2]OPS REF'!$B$34</definedName>
    <definedName name="sou">'[3]OPS REF'!$B$34</definedName>
    <definedName name="souw" localSheetId="9">'[2]OPS REF'!$B$33</definedName>
    <definedName name="souw">'[3]OPS REF'!$B$33</definedName>
    <definedName name="strat" localSheetId="9">'[2]OPS REF'!$B$29</definedName>
    <definedName name="strat">'[3]OPS REF'!$B$29</definedName>
    <definedName name="syd" localSheetId="9">'[2]OPS REF'!$B$35</definedName>
    <definedName name="syd">'[3]OPS REF'!$B$35</definedName>
    <definedName name="TOLL" localSheetId="9">'[2]LRF REf'!$B$38</definedName>
    <definedName name="TOLL">'[3]LRF REf'!$B$38</definedName>
    <definedName name="TOW" localSheetId="9">'[2]LRF REf'!$B$41</definedName>
    <definedName name="TOW">'[3]LRF REf'!$B$41</definedName>
    <definedName name="wes" localSheetId="9">'[2]OPS REF'!$B$36</definedName>
    <definedName name="wes">'[3]OPS REF'!$B$36</definedName>
    <definedName name="wrn.Monthly._.Report." localSheetId="0" hidden="1">{"Income-Directorate",#N/A,FALSE,"Trend - Income"}</definedName>
    <definedName name="wrn.Monthly._.Report." localSheetId="6" hidden="1">{"Income-Directorate",#N/A,FALSE,"Trend - Income"}</definedName>
    <definedName name="wrn.Monthly._.Report." localSheetId="9" hidden="1">{"Income-Directorate",#N/A,FALSE,"Trend - Income"}</definedName>
    <definedName name="wrn.Monthly._.Report." hidden="1">{"Income-Directorate",#N/A,FALSE,"Trend - Income"}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22" l="1"/>
  <c r="L67" i="22"/>
  <c r="L68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65" i="22"/>
  <c r="L82" i="22"/>
  <c r="L83" i="22"/>
  <c r="L84" i="22"/>
  <c r="L85" i="22"/>
  <c r="L86" i="22"/>
  <c r="L87" i="22"/>
  <c r="L88" i="22"/>
  <c r="L89" i="22"/>
  <c r="L90" i="22"/>
  <c r="L91" i="22"/>
  <c r="L92" i="22"/>
  <c r="L93" i="22"/>
  <c r="L94" i="22"/>
  <c r="L95" i="22"/>
  <c r="L96" i="22"/>
  <c r="L100" i="22"/>
  <c r="L101" i="22"/>
  <c r="L102" i="22"/>
  <c r="L103" i="22"/>
  <c r="L104" i="22"/>
  <c r="L105" i="22"/>
  <c r="L106" i="22"/>
  <c r="L107" i="22"/>
  <c r="L108" i="22"/>
  <c r="L109" i="22"/>
  <c r="L110" i="22"/>
  <c r="L111" i="22"/>
  <c r="L112" i="22"/>
  <c r="L113" i="22"/>
  <c r="L114" i="22"/>
  <c r="L99" i="22"/>
  <c r="L97" i="22"/>
  <c r="E145" i="4"/>
  <c r="E14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43" authorId="0" shapeId="0" xr:uid="{2884F396-5466-4BC2-A131-9071B535975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Two entries are switched in the data provided by WA, so two cells link to adjacent columns</t>
        </r>
      </text>
    </comment>
  </commentList>
</comments>
</file>

<file path=xl/sharedStrings.xml><?xml version="1.0" encoding="utf-8"?>
<sst xmlns="http://schemas.openxmlformats.org/spreadsheetml/2006/main" count="2150" uniqueCount="403">
  <si>
    <t>Sydney</t>
  </si>
  <si>
    <t>Melbourne</t>
  </si>
  <si>
    <t>Brisbane</t>
  </si>
  <si>
    <t>Adelaide</t>
  </si>
  <si>
    <t>Perth</t>
  </si>
  <si>
    <t>Darwin</t>
  </si>
  <si>
    <t>Canberra</t>
  </si>
  <si>
    <t>Total</t>
  </si>
  <si>
    <t>kilometres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</si>
  <si>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</si>
  <si>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</si>
  <si>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</si>
  <si>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</si>
  <si>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</si>
  <si>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</si>
  <si>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</si>
  <si>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</si>
  <si>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Australia</t>
  </si>
  <si>
    <t>See end notes.</t>
  </si>
  <si>
    <t>BITRE estimates</t>
  </si>
  <si>
    <t>NSW</t>
  </si>
  <si>
    <t>Vic</t>
  </si>
  <si>
    <t>Qld</t>
  </si>
  <si>
    <t>SA</t>
  </si>
  <si>
    <t>WA</t>
  </si>
  <si>
    <t>Tas</t>
  </si>
  <si>
    <t>NT</t>
  </si>
  <si>
    <t>2012-13</t>
  </si>
  <si>
    <t>2013-14</t>
  </si>
  <si>
    <t>2014-15</t>
  </si>
  <si>
    <t>2015-16</t>
  </si>
  <si>
    <t>2016-17</t>
  </si>
  <si>
    <t>2017-18</t>
  </si>
  <si>
    <t>QLD</t>
  </si>
  <si>
    <t>VIC</t>
  </si>
  <si>
    <t>Paved undivided</t>
  </si>
  <si>
    <t xml:space="preserve">Kilometres </t>
  </si>
  <si>
    <t>Note: Lane kilometre figures are obtained by multiplying the length of each segment of road by the number of lanes.</t>
  </si>
  <si>
    <t>Financial year</t>
  </si>
  <si>
    <t>Passenger cars</t>
  </si>
  <si>
    <t>Motor cycles</t>
  </si>
  <si>
    <t>Buses</t>
  </si>
  <si>
    <t>Light commercial vehicles</t>
  </si>
  <si>
    <t>Rigid and other trucks</t>
  </si>
  <si>
    <t>Articulated trucks</t>
  </si>
  <si>
    <t>billion vehicle kilometres travelled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</si>
  <si>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</si>
  <si>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</si>
  <si>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</si>
  <si>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</si>
  <si>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</si>
  <si>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</si>
  <si>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</si>
  <si>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</si>
  <si>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</si>
  <si>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</si>
  <si>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</si>
  <si>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</si>
  <si>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</si>
  <si>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</si>
  <si>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</si>
  <si>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</si>
  <si>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</si>
  <si>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</si>
  <si>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</si>
  <si>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</si>
  <si>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</si>
  <si>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</si>
  <si>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</si>
  <si>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</si>
  <si>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</si>
  <si>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</si>
  <si>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</si>
  <si>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</si>
  <si>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</si>
  <si>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</si>
  <si>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</si>
  <si>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</si>
  <si>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</si>
  <si>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</si>
  <si>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</si>
  <si>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</si>
  <si>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</si>
  <si>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</si>
  <si>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</si>
  <si>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</si>
  <si>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</si>
  <si>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</si>
  <si>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2018-19</t>
  </si>
  <si>
    <t>2019-20</t>
  </si>
  <si>
    <t>2020-21</t>
  </si>
  <si>
    <t>Source: BITRE estimates.</t>
  </si>
  <si>
    <t>TAS</t>
  </si>
  <si>
    <t>ACT</t>
  </si>
  <si>
    <t>Hobart</t>
  </si>
  <si>
    <t>Rigid trucks</t>
  </si>
  <si>
    <t xml:space="preserve">Total road freight 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</si>
  <si>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</si>
  <si>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</si>
  <si>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</si>
  <si>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</si>
  <si>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</si>
  <si>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</si>
  <si>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</si>
  <si>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</si>
  <si>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</si>
  <si>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</si>
  <si>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</si>
  <si>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</si>
  <si>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</si>
  <si>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</si>
  <si>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</si>
  <si>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</si>
  <si>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</si>
  <si>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</si>
  <si>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</si>
  <si>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</si>
  <si>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</si>
  <si>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</si>
  <si>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</si>
  <si>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</si>
  <si>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</si>
  <si>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</si>
  <si>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</si>
  <si>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</si>
  <si>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</si>
  <si>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</si>
  <si>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</si>
  <si>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</si>
  <si>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</si>
  <si>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</si>
  <si>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</si>
  <si>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</si>
  <si>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</si>
  <si>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</si>
  <si>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</si>
  <si>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</si>
  <si>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</si>
  <si>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</si>
  <si>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</si>
  <si>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</si>
  <si>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</si>
  <si>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</si>
  <si>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</si>
  <si>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</si>
  <si>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</si>
  <si>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LCVs</t>
  </si>
  <si>
    <t>Other vehicles</t>
  </si>
  <si>
    <t>All vehicles</t>
  </si>
  <si>
    <t>thousands</t>
  </si>
  <si>
    <t>1971</t>
  </si>
  <si>
    <t>1972</t>
  </si>
  <si>
    <t>Sports utility vehicles</t>
  </si>
  <si>
    <t>Total vehicles excluding motor cycles</t>
  </si>
  <si>
    <t>Date</t>
  </si>
  <si>
    <t>Female</t>
  </si>
  <si>
    <t>30 June 2010</t>
  </si>
  <si>
    <t>30 June 2011</t>
  </si>
  <si>
    <t>30 June 2012</t>
  </si>
  <si>
    <t>30 June 2013</t>
  </si>
  <si>
    <t>30 June 2014</t>
  </si>
  <si>
    <t>30 June 2015</t>
  </si>
  <si>
    <t>30 June 2016</t>
  </si>
  <si>
    <t>30 June 2017</t>
  </si>
  <si>
    <t>30 June 2018</t>
  </si>
  <si>
    <t>30 June 2019</t>
  </si>
  <si>
    <t>30 June 2020</t>
  </si>
  <si>
    <t>Male</t>
  </si>
  <si>
    <t>30 June 2021</t>
  </si>
  <si>
    <t>Highest class of heavy vehicle licence</t>
  </si>
  <si>
    <t>Car</t>
  </si>
  <si>
    <t>Motorcycle</t>
  </si>
  <si>
    <t>Light rigid</t>
  </si>
  <si>
    <t>Medium rigid</t>
  </si>
  <si>
    <t>Heavy rigid</t>
  </si>
  <si>
    <t>Heavy combination</t>
  </si>
  <si>
    <t>Multi combination</t>
  </si>
  <si>
    <t>Full licence</t>
  </si>
  <si>
    <t>Provisional licence</t>
  </si>
  <si>
    <t>L Permits</t>
  </si>
  <si>
    <t>Australia (ABS)</t>
  </si>
  <si>
    <t>index (2011-12 = 100)</t>
  </si>
  <si>
    <t>$ million</t>
  </si>
  <si>
    <t>2021-22</t>
  </si>
  <si>
    <t>2022-23</t>
  </si>
  <si>
    <t>2022</t>
  </si>
  <si>
    <t>Make</t>
  </si>
  <si>
    <t>Tesla</t>
  </si>
  <si>
    <t>Hyundai</t>
  </si>
  <si>
    <t>Nissan</t>
  </si>
  <si>
    <t>MG</t>
  </si>
  <si>
    <t>Mercedes-Benz</t>
  </si>
  <si>
    <t>BMW</t>
  </si>
  <si>
    <t>Calendar year</t>
  </si>
  <si>
    <t>Passenger cars (excluding sports utility vehicles)*</t>
  </si>
  <si>
    <t>30 June 2022</t>
  </si>
  <si>
    <t>30 June 2023</t>
  </si>
  <si>
    <t xml:space="preserve">Female </t>
  </si>
  <si>
    <t>31 July 2022</t>
  </si>
  <si>
    <t>2023</t>
  </si>
  <si>
    <t>BYD</t>
  </si>
  <si>
    <t>Volvo</t>
  </si>
  <si>
    <t>Polestar</t>
  </si>
  <si>
    <t>Kia</t>
  </si>
  <si>
    <t>Others</t>
  </si>
  <si>
    <t xml:space="preserve">Note: From 2018-19, data has been collected from VFACTS with BITRE estimates for Tesla sales as opposed to the ABS. </t>
  </si>
  <si>
    <t>Paved total</t>
  </si>
  <si>
    <t>Lane kilometres</t>
  </si>
  <si>
    <t>2024</t>
  </si>
  <si>
    <t>2023-24</t>
  </si>
  <si>
    <t>30 June 2024</t>
  </si>
  <si>
    <t>Data for 2021 and earlier is based on data provided by Transport for NSW (2023).</t>
  </si>
  <si>
    <t xml:space="preserve">Note: Full licence includes probationary, interim, AIL (Alcohol Ignition Lock) and restricted rider licences. </t>
  </si>
  <si>
    <t>Note: Full licence includes probationary and restricted licences.</t>
  </si>
  <si>
    <t>Source: BITRE estimates based on state/territory licensing data (2024).</t>
  </si>
  <si>
    <t>Note: Figures from 2022 onwards are drawn from a different TfNSW database to prior years.</t>
  </si>
  <si>
    <t>Note: Motorcycle counts for South Australia includes the R-Date licence class.</t>
  </si>
  <si>
    <r>
      <t xml:space="preserve">Note: </t>
    </r>
    <r>
      <rPr>
        <i/>
        <sz val="10"/>
        <rFont val="Arial"/>
        <family val="2"/>
      </rPr>
      <t>Full Licence</t>
    </r>
    <r>
      <rPr>
        <sz val="10"/>
        <rFont val="Arial"/>
        <family val="2"/>
      </rPr>
      <t xml:space="preserve"> includes probationary, interim, AIL (Alcohol Ignition Lock) and restricted rider licences. </t>
    </r>
  </si>
  <si>
    <r>
      <t xml:space="preserve">Note: </t>
    </r>
    <r>
      <rPr>
        <i/>
        <sz val="10"/>
        <rFont val="Arial"/>
        <family val="2"/>
      </rPr>
      <t>Full Licence</t>
    </r>
    <r>
      <rPr>
        <sz val="10"/>
        <rFont val="Arial"/>
        <family val="2"/>
      </rPr>
      <t xml:space="preserve"> includes probationary and restricted licences.</t>
    </r>
  </si>
  <si>
    <r>
      <t xml:space="preserve">Note: </t>
    </r>
    <r>
      <rPr>
        <i/>
        <sz val="10"/>
        <rFont val="Arial"/>
        <family val="2"/>
      </rPr>
      <t>Full licence</t>
    </r>
    <r>
      <rPr>
        <sz val="10"/>
        <rFont val="Arial"/>
        <family val="2"/>
      </rPr>
      <t xml:space="preserve"> includes ordinary and extra-ordinary licences.</t>
    </r>
  </si>
  <si>
    <t>Paved freeway (exlcuding tunnel)</t>
  </si>
  <si>
    <t>Source: Department of Infrastructure, Transport, Regional Development, Communications and the Arts (2024)</t>
  </si>
  <si>
    <t>30 June 2025</t>
  </si>
  <si>
    <t>2024-25</t>
  </si>
  <si>
    <t>Age</t>
  </si>
  <si>
    <t xml:space="preserve">16-19 </t>
  </si>
  <si>
    <t xml:space="preserve">20-24 </t>
  </si>
  <si>
    <t xml:space="preserve">25-29 </t>
  </si>
  <si>
    <t xml:space="preserve">30-39 </t>
  </si>
  <si>
    <t xml:space="preserve">40-49 </t>
  </si>
  <si>
    <t xml:space="preserve">50-59 </t>
  </si>
  <si>
    <t xml:space="preserve">60-69 </t>
  </si>
  <si>
    <t>70-79</t>
  </si>
  <si>
    <t>80+</t>
  </si>
  <si>
    <t>Persons</t>
  </si>
  <si>
    <t xml:space="preserve">15-19 </t>
  </si>
  <si>
    <t>Source:  BITRE estimates based on Department of Treasury and Finance (Tas) data (2024).</t>
  </si>
  <si>
    <t>U Class</t>
  </si>
  <si>
    <t>U class</t>
  </si>
  <si>
    <t>Source: BITRE estimates based on Access Canberra data (2025).</t>
  </si>
  <si>
    <t>Source: BITRE estimates based on Department of Treasury and Finance (NT) data (2025).</t>
  </si>
  <si>
    <t>Source: BITRE estimates based on Department for Infrastructure and Transport (SA) data (2025).</t>
  </si>
  <si>
    <t>Source: BITRE estimates based on Department of Transport and Main Roads (Qld) data (2025).</t>
  </si>
  <si>
    <t>Source: BITRE estimates based on Department of Transport (WA) data (2025).</t>
  </si>
  <si>
    <t>Source: BITRE estimates based on data provided by Transport for NSW (2025).</t>
  </si>
  <si>
    <t>Source: BITRE estimates based on VicRoads data (2025).</t>
  </si>
  <si>
    <t>Source: BITRE estimates based on Department of State Growth (Tasmania) (2025).</t>
  </si>
  <si>
    <t>2025</t>
  </si>
  <si>
    <t>Table 4.1a Australian road length, by type of road</t>
  </si>
  <si>
    <t xml:space="preserve">Table 4.1b Road length by type of road, by state and territory </t>
  </si>
  <si>
    <t xml:space="preserve">Table 4.1c Unsealed road length by type of road, by state and territory </t>
  </si>
  <si>
    <t xml:space="preserve">Table 4.1d Lane kilometres, by type of road, Australia </t>
  </si>
  <si>
    <t>Table 4.2 Total vehicle kilometres travelled, by vehicle type</t>
  </si>
  <si>
    <t>Table 4.12  Selected road and bridge construction and maintenance price and cost indexes, for Australia and for states and territories</t>
  </si>
  <si>
    <t>Table 4.9a  Licence holders, by age and gender—New South Wales</t>
  </si>
  <si>
    <t>Table 4.9b  Licence holders, by age and gender—Victoria</t>
  </si>
  <si>
    <t>Table 4.9c  Licence holders, by age and gender—Queensland</t>
  </si>
  <si>
    <t>Table 4.9d  Licence holders, by age and gender—South Australia</t>
  </si>
  <si>
    <t>Table 4.9e  Licence holders, by age and gender—Western Australia</t>
  </si>
  <si>
    <t>Table 4.9f  Licence holders , by age and gender—Tasmania</t>
  </si>
  <si>
    <t>Table 4.9g  Licence holders, by age and gender—Northern Territory</t>
  </si>
  <si>
    <t>Table 4.9h  Licence holders, by age and gender—Australian Capital Territory</t>
  </si>
  <si>
    <t>Table 4.9i  Licence holders, by age and gender—Australia</t>
  </si>
  <si>
    <t>Table 4.8  New motor vehicles sales excluding motor cycles, by state/territory</t>
  </si>
  <si>
    <t>Table 4.4  Total vehicle kilometres travelled by capital city</t>
  </si>
  <si>
    <t>Table 4.5  Total road freight, by vehicle type</t>
  </si>
  <si>
    <t>Table 4.6a  Stock of registered motor vehicles, by vehicle type</t>
  </si>
  <si>
    <t xml:space="preserve">Table 4.10i    Licences, by vehicle type—Australia </t>
  </si>
  <si>
    <t xml:space="preserve">Table 4.10h    Licences, by vehicle type—Australian Capital Territory </t>
  </si>
  <si>
    <t>Table 4.10g   Licences, by vehicle type—Northern Territory</t>
  </si>
  <si>
    <t xml:space="preserve">Table 4.10f  Licences, by vehicle type—Tasmania </t>
  </si>
  <si>
    <t xml:space="preserve">Table 4.10e    Licences operators, by vehicle type—Western Australia </t>
  </si>
  <si>
    <t xml:space="preserve">Table 4.10d    Licences, by vehicle type—South Australia </t>
  </si>
  <si>
    <t xml:space="preserve">Table 4.10c    Licences, by vehicle type—Queensland </t>
  </si>
  <si>
    <t xml:space="preserve">Table 4.10b    Licences, by vehicle type—Victoria </t>
  </si>
  <si>
    <t>Table 4.11a  Licences, by gender and vehicle class — New South Wales</t>
  </si>
  <si>
    <t>Table 4.11b  Licences, by gender and vehicle class — Victoria</t>
  </si>
  <si>
    <t>Table 4.11c  Licences, by gender and vehicle class — Queensland</t>
  </si>
  <si>
    <t>Table 4.11d  Licences, by gender and vehicle class — South Australia</t>
  </si>
  <si>
    <t>Table 4.11e  Licences, by gender and vehicle class — Western Australia</t>
  </si>
  <si>
    <t>Table 4.11f  Licences, by gender and vehicle class — Tasmania</t>
  </si>
  <si>
    <t>Table 4.11g  Licences, by gender and vehicle class — Northern Territory</t>
  </si>
  <si>
    <t>Table 4.11h  Licences, by gender and vehicle class — Australian Capital Territory</t>
  </si>
  <si>
    <t xml:space="preserve">Table 4.11i  Licences, by gender and vehicle class — Australia </t>
  </si>
  <si>
    <t>Table 4.1e Lane kilometres, by type of road, by state and territory</t>
  </si>
  <si>
    <t>Table 4.1f  Total locally controlled road length by state/territory</t>
  </si>
  <si>
    <t>Table 4.7 New motor vehicles sales, excluding motor cycles, by vehicle type</t>
  </si>
  <si>
    <t>Table 4.6b Stock of registered motor vehicles, by state/territory</t>
  </si>
  <si>
    <t xml:space="preserve">Table 4.10a Licences, by vehicle type—New South Wales </t>
  </si>
  <si>
    <t>Source: BITRE estimates with reference to HERE 2025, OpenStreetMap database 2025 and PSMA 2018 data, Department of Infrastructure Estimates 2024</t>
  </si>
  <si>
    <t>Uncertainty in these estimates is higher after 2020 when the last Survey of Motor Vehicle Use was completed.</t>
  </si>
  <si>
    <t>Source: BITRE estimates with reference to HERE 2025, OpenStreetMap database 2025.  2022 and prior from PSMA data and BITRE estimates</t>
  </si>
  <si>
    <t>billion tonne-kilometres</t>
  </si>
  <si>
    <t>Paved freeway</t>
  </si>
  <si>
    <t>Paved divided (excluding freeway)</t>
  </si>
  <si>
    <t>Table 4.13  Arterial road and bridge maintenance expenditure, constant 2024-25 prices, adjusted by BITRE Road Construction and Maintenance Price Index—Road maintenance sub-index</t>
  </si>
  <si>
    <t>Australia (BITRE RCMPI construction subindex)</t>
  </si>
  <si>
    <t xml:space="preserve">Data is averaged over four quarters </t>
  </si>
  <si>
    <t>Source: For state and national indexes - ABS (2025) Producer Price Index; for national (BITRE) index - BITRE estimates.</t>
  </si>
  <si>
    <t>Sources: NTC (2025)</t>
  </si>
  <si>
    <t>Source: BITRE estimates based on state/territory licensing data (2025).</t>
  </si>
  <si>
    <t>Source: BITRE estimates with reference to HERE 2025, Department of Infrastructure Estimates 2025</t>
  </si>
  <si>
    <t>note: Missing figures are not reported</t>
  </si>
  <si>
    <t>Source: BITRE estimates with reference to HERE 2025, OpenStreetMap database 2025 and PSMA 2018 data, Department of Infrastructure Estimates 2025</t>
  </si>
  <si>
    <t>Car (excluding motorcycle)</t>
  </si>
  <si>
    <t>Car (including motorcycle)</t>
  </si>
  <si>
    <t xml:space="preserve">Note: the split between 70-79 and 80 plus is a estimation based on previous data provided. </t>
  </si>
  <si>
    <t>See end notes</t>
  </si>
  <si>
    <t>Car (excluding motorcycle licences)</t>
  </si>
  <si>
    <t>Car (including motorcycle licences)</t>
  </si>
  <si>
    <t>Note: For 2025, licence holder figures are taken to be the sum of 'car' and 'rider' licences.  For age groups 16-19 and 20-24, figures are estimates based on split between ages provided by TfNSW.</t>
  </si>
  <si>
    <t>Notes: Uncertainty in these estimates is higher after 2020 when the last Survey of Motor Vehicle Use was completed.</t>
  </si>
  <si>
    <t>Capital cities are as defined by ABS Greater Capital City Statistical Areas (GCCSAs) boundary definitions</t>
  </si>
  <si>
    <t>NSW includes Jervis Bay</t>
  </si>
  <si>
    <t>45,501</t>
  </si>
  <si>
    <t xml:space="preserve"> 5,260</t>
  </si>
  <si>
    <t xml:space="preserve"> 3,352</t>
  </si>
  <si>
    <t xml:space="preserve"> 2,963</t>
  </si>
  <si>
    <t xml:space="preserve"> 2,478</t>
  </si>
  <si>
    <t xml:space="preserve"> 2,178</t>
  </si>
  <si>
    <t xml:space="preserve"> 1,928</t>
  </si>
  <si>
    <t xml:space="preserve"> 1,870</t>
  </si>
  <si>
    <t xml:space="preserve"> 1,721</t>
  </si>
  <si>
    <t xml:space="preserve"> 1,242</t>
  </si>
  <si>
    <t xml:space="preserve"> 3,547</t>
  </si>
  <si>
    <t xml:space="preserve"> 89,235</t>
  </si>
  <si>
    <t xml:space="preserve">  7,779</t>
  </si>
  <si>
    <t xml:space="preserve">  4,373</t>
  </si>
  <si>
    <t xml:space="preserve">  9,503</t>
  </si>
  <si>
    <t xml:space="preserve"> 16,013</t>
  </si>
  <si>
    <t xml:space="preserve">  5,381</t>
  </si>
  <si>
    <t xml:space="preserve">  5,825</t>
  </si>
  <si>
    <t xml:space="preserve">  5,002</t>
  </si>
  <si>
    <t xml:space="preserve">  4,093</t>
  </si>
  <si>
    <t xml:space="preserve">  4,493</t>
  </si>
  <si>
    <t xml:space="preserve">  7,952</t>
  </si>
  <si>
    <t>126,634</t>
  </si>
  <si>
    <t xml:space="preserve"> 10,267</t>
  </si>
  <si>
    <t xml:space="preserve">  5,108</t>
  </si>
  <si>
    <t xml:space="preserve"> 17,713</t>
  </si>
  <si>
    <t xml:space="preserve"> 29,125</t>
  </si>
  <si>
    <t xml:space="preserve">  8,085</t>
  </si>
  <si>
    <t xml:space="preserve">  9,643</t>
  </si>
  <si>
    <t xml:space="preserve"> 12,870</t>
  </si>
  <si>
    <t xml:space="preserve">  5,641</t>
  </si>
  <si>
    <t xml:space="preserve">  8,147</t>
  </si>
  <si>
    <t xml:space="preserve"> 16,197</t>
  </si>
  <si>
    <t>324 311</t>
  </si>
  <si>
    <t>20 089</t>
  </si>
  <si>
    <t>343 610</t>
  </si>
  <si>
    <t>23 275</t>
  </si>
  <si>
    <t>Source: BITRE estimates based on Transport for New South Wales' Licences and sanctions snapshot report (2025).</t>
  </si>
  <si>
    <t>Note: Persons total includes drivers licence holders where gender is not specified.</t>
  </si>
  <si>
    <t>Note: Full licence includes ordinary and extra-ordinary licences.</t>
  </si>
  <si>
    <t>Source: BITRE estimates based on Department of Transport and Major Infrastructure (WA) data (2025)</t>
  </si>
  <si>
    <t>Source: BITRE estimates based on Department of Treasury and Finance (Tas) data (2025).</t>
  </si>
  <si>
    <t>BITRE Australian Infrastructure and Transport Statistics Yearbook 2025</t>
  </si>
  <si>
    <t>Chapter 4: Road</t>
  </si>
  <si>
    <t>Index</t>
  </si>
  <si>
    <t>Table 4.1a  Australian road length, by type of road</t>
  </si>
  <si>
    <t xml:space="preserve">Table 4.1b  Road length by type of road, by state and territory </t>
  </si>
  <si>
    <t xml:space="preserve">Table 4.1c  Unsealed road length by type of road, by state and territory </t>
  </si>
  <si>
    <t xml:space="preserve">Table 4.1d  Lane kilometres, by type of road, Australia </t>
  </si>
  <si>
    <t>Table 4.1e  Lane kilometres, by type of road, by state and territory</t>
  </si>
  <si>
    <t>Table 4.2  Total vehicle kilometres travelled, by vehicle type</t>
  </si>
  <si>
    <t>Table 4.3  Total vehicle kilometres travelled by state/territory</t>
  </si>
  <si>
    <t>Table 4.6b  Stock of registered motor vehicles, by state/territory</t>
  </si>
  <si>
    <t>Table 4.6c  Battery electric passenger vehicles on register by make, top 10 makes</t>
  </si>
  <si>
    <t>Table 4.7  New motor vehicles sales, excluding motor cycles, by vehicle type</t>
  </si>
  <si>
    <t xml:space="preserve">Table 4.10a  Licences, by vehicle type—New South Wales </t>
  </si>
  <si>
    <t xml:space="preserve">Table 4.10b  Licences, by vehicle type—Victoria </t>
  </si>
  <si>
    <t xml:space="preserve">Table 4.10c  Licences, by vehicle type—Queensland </t>
  </si>
  <si>
    <t xml:space="preserve">Table 4.10d  Licences, by vehicle type—South Australia </t>
  </si>
  <si>
    <t xml:space="preserve">Table 4.10e  Licences, by vehicle type—Western Australia </t>
  </si>
  <si>
    <t>Table 4.10g  Licences, by vehicle type—Northern Territory</t>
  </si>
  <si>
    <t xml:space="preserve">Table 4.10h  Licences, by vehicle type—Australian Capital Territory </t>
  </si>
  <si>
    <t xml:space="preserve">Table 4.10i  Licences, by vehicle type—Australia </t>
  </si>
  <si>
    <t>Table 4.11i  Licences, by gender and vehicle class — Australia</t>
  </si>
  <si>
    <t xml:space="preserve">Source: BITRE estimates with reference to HERE 2025, OpenStreetMap database 2025.  </t>
  </si>
  <si>
    <t>2022 and prior from PSMA data and BITRE estimates</t>
  </si>
  <si>
    <t>Data from 2021 onwards was provided from BITRE as opposed to the ABS</t>
  </si>
  <si>
    <t>Notes: Data are not readily available for missing years.</t>
  </si>
  <si>
    <t>Source: ABS (2021), Motor Vehicle Census</t>
  </si>
  <si>
    <t>BITRE (2025), Road Vehicles, Australia</t>
  </si>
  <si>
    <t>Table 4.6c Battery electric passenger vehicles on register by make, top 10 makes</t>
  </si>
  <si>
    <t>Note: This data is taken as a snapshot as at 31 January 2025</t>
  </si>
  <si>
    <t>Source: BITRE (2025), Motor Vehicles, Australia</t>
  </si>
  <si>
    <t>Note: *Passenger vehicles in this table are under a different definition to other tables as they do not include sports utility vehicles.</t>
  </si>
  <si>
    <t>Sources: ABS (2017), Sale of New Motor Vehicles, Australia</t>
  </si>
  <si>
    <t>Federal Chamber of Automotive Industries (2025), New Vehicle Sales</t>
  </si>
  <si>
    <t>Sources: Australian Bureau of Statistics (2017), Sales of New Motor Vehicles</t>
  </si>
  <si>
    <t>VFACTS, 2025</t>
  </si>
  <si>
    <t>Electric Vehicle Council, 2025, State of Electric Vehicles</t>
  </si>
  <si>
    <t>BITRE estimates (adjusted for historical Tesla sales)</t>
  </si>
  <si>
    <t>Source: BITRE estimates based on ACT Access Canberra data (2025).</t>
  </si>
  <si>
    <t>Sources: 2022, 2023, 2024 and 2025 data based on Transport for New South Wales' licences and sanctions snapshot report (2025).</t>
  </si>
  <si>
    <t>Persons total includes drivers where gender is not specified as male or female.</t>
  </si>
  <si>
    <t>Source: BITRE estimates based on Department of Transport and Planning data (VIC) (2025).</t>
  </si>
  <si>
    <t>Source: BITRE estimates based on Department of Transport and Major Infrastructure (WA) data (2025).</t>
  </si>
  <si>
    <r>
      <t xml:space="preserve">Note: </t>
    </r>
    <r>
      <rPr>
        <i/>
        <sz val="10"/>
        <rFont val="Arial"/>
        <family val="2"/>
      </rPr>
      <t xml:space="preserve">Full licence </t>
    </r>
    <r>
      <rPr>
        <sz val="10"/>
        <rFont val="Arial"/>
        <family val="2"/>
      </rPr>
      <t>figures from 2020 onwards includes restricted licences</t>
    </r>
  </si>
  <si>
    <t>Source: BITRE estimates based on ACTAccess Canberra data (2025).</t>
  </si>
  <si>
    <t>Note: The list of road classifications used by the NTC is included in the endnotes. Road and bridge maintenance figures exclude Commonwealth-funded Natural Disaster Relief and Recovery Arrangements (NDRRA) and Insurance-related expenditure since 2010-11.</t>
  </si>
  <si>
    <t>Totals may vary slightly to Table 1.1c due to different data sources, especially for historical figures.  Figures for years prior to 2018-19 have not been included.  Earlier issues of the Yearbook contained a longer timer series estimated on a different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</si>
</sst>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#\ ##0"/>
    <numFmt numFmtId="165" formatCode="0.0;\-0.0;0.0;@"/>
    <numFmt numFmtId="166" formatCode="0.0"/>
    <numFmt numFmtId="167" formatCode="#\ ##0.0"/>
    <numFmt numFmtId="168" formatCode="_-* #,##0_-;\-* #,##0_-;_-* &quot;-&quot;??_-;_-@_-"/>
    <numFmt numFmtId="169" formatCode="#,##0.0"/>
    <numFmt numFmtId="170" formatCode="#\ ###.0"/>
    <numFmt numFmtId="171" formatCode="#####\ ###.0"/>
    <numFmt numFmtId="172" formatCode="#\ ###\ ##0"/>
    <numFmt numFmtId="173" formatCode="mmm\-yyyy"/>
    <numFmt numFmtId="174" formatCode="0.000000"/>
    <numFmt numFmtId="175" formatCode="##\ ###"/>
    <numFmt numFmtId="176" formatCode="#,##0.000"/>
    <numFmt numFmtId="177" formatCode="[$-C09]d\ mmmm\ yyyy;@"/>
    <numFmt numFmtId="178" formatCode=".\ \ ##0;"/>
    <numFmt numFmtId="179" formatCode="\ \ ;"/>
    <numFmt numFmtId="180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0" tint="-0.249977111117893"/>
      <name val="Arial"/>
      <family val="2"/>
    </font>
    <font>
      <i/>
      <sz val="10"/>
      <color rgb="FF000000"/>
      <name val="Arial"/>
      <family val="2"/>
    </font>
    <font>
      <u/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u/>
      <sz val="11"/>
      <color theme="8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8294C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1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5" fillId="0" borderId="0" xfId="3" applyFont="1" applyAlignment="1">
      <alignment horizontal="left"/>
    </xf>
    <xf numFmtId="2" fontId="3" fillId="0" borderId="0" xfId="3" applyNumberFormat="1"/>
    <xf numFmtId="2" fontId="3" fillId="0" borderId="1" xfId="3" applyNumberFormat="1" applyBorder="1"/>
    <xf numFmtId="0" fontId="3" fillId="0" borderId="0" xfId="3" applyAlignment="1">
      <alignment horizontal="right"/>
    </xf>
    <xf numFmtId="0" fontId="3" fillId="0" borderId="0" xfId="3"/>
    <xf numFmtId="0" fontId="3" fillId="0" borderId="1" xfId="3" applyBorder="1" applyAlignment="1">
      <alignment horizontal="left"/>
    </xf>
    <xf numFmtId="0" fontId="3" fillId="0" borderId="1" xfId="3" applyBorder="1"/>
    <xf numFmtId="0" fontId="3" fillId="0" borderId="0" xfId="3" applyAlignment="1">
      <alignment horizontal="left"/>
    </xf>
    <xf numFmtId="0" fontId="3" fillId="0" borderId="0" xfId="3" applyAlignment="1">
      <alignment horizontal="right" wrapText="1"/>
    </xf>
    <xf numFmtId="0" fontId="3" fillId="0" borderId="0" xfId="3" applyAlignment="1">
      <alignment horizontal="center"/>
    </xf>
    <xf numFmtId="169" fontId="3" fillId="0" borderId="0" xfId="3" applyNumberFormat="1"/>
    <xf numFmtId="169" fontId="3" fillId="0" borderId="1" xfId="3" applyNumberFormat="1" applyBorder="1"/>
    <xf numFmtId="169" fontId="3" fillId="0" borderId="0" xfId="3" applyNumberFormat="1" applyAlignment="1">
      <alignment horizontal="right"/>
    </xf>
    <xf numFmtId="170" fontId="3" fillId="0" borderId="0" xfId="3" applyNumberFormat="1"/>
    <xf numFmtId="167" fontId="3" fillId="0" borderId="0" xfId="3" applyNumberFormat="1"/>
    <xf numFmtId="0" fontId="5" fillId="0" borderId="0" xfId="3" applyFont="1"/>
    <xf numFmtId="169" fontId="7" fillId="0" borderId="0" xfId="3" applyNumberFormat="1" applyFont="1" applyAlignment="1">
      <alignment wrapText="1"/>
    </xf>
    <xf numFmtId="167" fontId="3" fillId="0" borderId="1" xfId="3" applyNumberFormat="1" applyBorder="1"/>
    <xf numFmtId="49" fontId="5" fillId="0" borderId="0" xfId="3" applyNumberFormat="1" applyFont="1" applyAlignment="1">
      <alignment horizontal="left"/>
    </xf>
    <xf numFmtId="0" fontId="5" fillId="0" borderId="2" xfId="5" applyFont="1" applyBorder="1" applyAlignment="1">
      <alignment horizontal="left"/>
    </xf>
    <xf numFmtId="49" fontId="5" fillId="0" borderId="0" xfId="5" applyNumberFormat="1" applyFont="1" applyAlignment="1">
      <alignment horizontal="left"/>
    </xf>
    <xf numFmtId="0" fontId="5" fillId="0" borderId="0" xfId="5" applyFont="1" applyAlignment="1">
      <alignment horizontal="left"/>
    </xf>
    <xf numFmtId="0" fontId="7" fillId="0" borderId="0" xfId="3" applyFont="1"/>
    <xf numFmtId="0" fontId="5" fillId="0" borderId="0" xfId="3" applyFont="1" applyAlignment="1">
      <alignment horizontal="left" vertical="top" wrapText="1"/>
    </xf>
    <xf numFmtId="0" fontId="5" fillId="0" borderId="0" xfId="5" applyFont="1"/>
    <xf numFmtId="49" fontId="3" fillId="0" borderId="0" xfId="3" applyNumberFormat="1" applyAlignment="1">
      <alignment horizontal="left"/>
    </xf>
    <xf numFmtId="0" fontId="3" fillId="0" borderId="1" xfId="5" applyFont="1" applyBorder="1" applyAlignment="1">
      <alignment horizontal="left"/>
    </xf>
    <xf numFmtId="49" fontId="3" fillId="0" borderId="1" xfId="3" applyNumberFormat="1" applyBorder="1" applyAlignment="1">
      <alignment horizontal="left" wrapText="1"/>
    </xf>
    <xf numFmtId="0" fontId="3" fillId="0" borderId="0" xfId="5" applyFont="1" applyAlignment="1">
      <alignment horizontal="left"/>
    </xf>
    <xf numFmtId="49" fontId="3" fillId="0" borderId="1" xfId="3" applyNumberFormat="1" applyBorder="1" applyAlignment="1">
      <alignment horizontal="left"/>
    </xf>
    <xf numFmtId="0" fontId="3" fillId="0" borderId="0" xfId="5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49" fontId="3" fillId="0" borderId="0" xfId="5" applyNumberFormat="1" applyFont="1" applyAlignment="1">
      <alignment horizontal="left"/>
    </xf>
    <xf numFmtId="2" fontId="5" fillId="0" borderId="0" xfId="3" applyNumberFormat="1" applyFont="1" applyAlignment="1">
      <alignment horizontal="right"/>
    </xf>
    <xf numFmtId="49" fontId="5" fillId="0" borderId="2" xfId="3" applyNumberFormat="1" applyFont="1" applyBorder="1" applyAlignment="1">
      <alignment horizontal="left"/>
    </xf>
    <xf numFmtId="2" fontId="5" fillId="0" borderId="2" xfId="3" applyNumberFormat="1" applyFont="1" applyBorder="1"/>
    <xf numFmtId="167" fontId="3" fillId="0" borderId="0" xfId="5" applyNumberFormat="1" applyFont="1"/>
    <xf numFmtId="0" fontId="3" fillId="0" borderId="1" xfId="5" applyFont="1" applyBorder="1" applyAlignment="1">
      <alignment horizontal="right" wrapText="1"/>
    </xf>
    <xf numFmtId="0" fontId="3" fillId="0" borderId="0" xfId="5" applyFont="1" applyAlignment="1">
      <alignment horizontal="right" wrapText="1"/>
    </xf>
    <xf numFmtId="169" fontId="3" fillId="0" borderId="2" xfId="5" applyNumberFormat="1" applyFont="1" applyBorder="1"/>
    <xf numFmtId="172" fontId="3" fillId="0" borderId="0" xfId="5" applyNumberFormat="1" applyFont="1"/>
    <xf numFmtId="49" fontId="3" fillId="0" borderId="1" xfId="5" applyNumberFormat="1" applyFont="1" applyBorder="1" applyAlignment="1">
      <alignment horizontal="left"/>
    </xf>
    <xf numFmtId="172" fontId="3" fillId="0" borderId="1" xfId="5" applyNumberFormat="1" applyFont="1" applyBorder="1"/>
    <xf numFmtId="49" fontId="3" fillId="0" borderId="4" xfId="5" applyNumberFormat="1" applyFont="1" applyBorder="1" applyAlignment="1">
      <alignment horizontal="left"/>
    </xf>
    <xf numFmtId="49" fontId="3" fillId="0" borderId="0" xfId="3" applyNumberFormat="1" applyAlignment="1">
      <alignment horizontal="left" wrapText="1"/>
    </xf>
    <xf numFmtId="172" fontId="3" fillId="0" borderId="0" xfId="9" applyNumberFormat="1"/>
    <xf numFmtId="49" fontId="5" fillId="0" borderId="0" xfId="0" applyNumberFormat="1" applyFont="1" applyAlignment="1">
      <alignment horizontal="left"/>
    </xf>
    <xf numFmtId="170" fontId="3" fillId="0" borderId="0" xfId="3" applyNumberFormat="1" applyAlignment="1">
      <alignment wrapText="1"/>
    </xf>
    <xf numFmtId="171" fontId="3" fillId="0" borderId="0" xfId="3" applyNumberFormat="1" applyAlignment="1">
      <alignment wrapText="1"/>
    </xf>
    <xf numFmtId="49" fontId="3" fillId="0" borderId="4" xfId="3" applyNumberFormat="1" applyBorder="1" applyAlignment="1">
      <alignment horizontal="left"/>
    </xf>
    <xf numFmtId="170" fontId="3" fillId="0" borderId="1" xfId="3" applyNumberFormat="1" applyBorder="1" applyAlignment="1">
      <alignment wrapText="1"/>
    </xf>
    <xf numFmtId="170" fontId="3" fillId="0" borderId="4" xfId="3" applyNumberFormat="1" applyBorder="1"/>
    <xf numFmtId="170" fontId="3" fillId="0" borderId="0" xfId="3" applyNumberFormat="1" applyAlignment="1">
      <alignment horizontal="right"/>
    </xf>
    <xf numFmtId="0" fontId="10" fillId="0" borderId="0" xfId="5" applyFont="1"/>
    <xf numFmtId="167" fontId="3" fillId="0" borderId="4" xfId="3" applyNumberFormat="1" applyBorder="1"/>
    <xf numFmtId="0" fontId="6" fillId="0" borderId="0" xfId="0" applyFont="1" applyAlignment="1">
      <alignment vertical="center"/>
    </xf>
    <xf numFmtId="0" fontId="6" fillId="0" borderId="0" xfId="0" applyFont="1"/>
    <xf numFmtId="164" fontId="6" fillId="0" borderId="0" xfId="0" applyNumberFormat="1" applyFont="1"/>
    <xf numFmtId="172" fontId="6" fillId="0" borderId="0" xfId="0" applyNumberFormat="1" applyFont="1"/>
    <xf numFmtId="172" fontId="6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167" fontId="6" fillId="0" borderId="2" xfId="0" applyNumberFormat="1" applyFont="1" applyBorder="1"/>
    <xf numFmtId="167" fontId="6" fillId="0" borderId="0" xfId="0" applyNumberFormat="1" applyFont="1"/>
    <xf numFmtId="167" fontId="6" fillId="0" borderId="1" xfId="0" applyNumberFormat="1" applyFont="1" applyBorder="1"/>
    <xf numFmtId="0" fontId="1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" fontId="6" fillId="0" borderId="0" xfId="0" applyNumberFormat="1" applyFont="1"/>
    <xf numFmtId="0" fontId="6" fillId="0" borderId="2" xfId="0" applyFont="1" applyBorder="1"/>
    <xf numFmtId="1" fontId="6" fillId="0" borderId="2" xfId="0" applyNumberFormat="1" applyFont="1" applyBorder="1" applyAlignment="1">
      <alignment horizontal="center" wrapText="1"/>
    </xf>
    <xf numFmtId="1" fontId="6" fillId="0" borderId="1" xfId="0" applyNumberFormat="1" applyFont="1" applyBorder="1"/>
    <xf numFmtId="0" fontId="3" fillId="0" borderId="0" xfId="0" applyFont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5" fillId="0" borderId="0" xfId="0" applyFont="1"/>
    <xf numFmtId="168" fontId="6" fillId="0" borderId="0" xfId="0" applyNumberFormat="1" applyFont="1"/>
    <xf numFmtId="168" fontId="6" fillId="0" borderId="0" xfId="1" applyNumberFormat="1" applyFont="1" applyFill="1"/>
    <xf numFmtId="166" fontId="6" fillId="0" borderId="0" xfId="0" applyNumberFormat="1" applyFont="1"/>
    <xf numFmtId="0" fontId="12" fillId="0" borderId="0" xfId="0" applyFont="1"/>
    <xf numFmtId="0" fontId="3" fillId="0" borderId="2" xfId="3" applyBorder="1"/>
    <xf numFmtId="0" fontId="3" fillId="0" borderId="0" xfId="5" applyFont="1" applyAlignment="1">
      <alignment horizontal="right"/>
    </xf>
    <xf numFmtId="167" fontId="3" fillId="0" borderId="0" xfId="5" applyNumberFormat="1" applyFont="1" applyAlignment="1">
      <alignment horizontal="right"/>
    </xf>
    <xf numFmtId="166" fontId="3" fillId="0" borderId="0" xfId="3" applyNumberFormat="1"/>
    <xf numFmtId="166" fontId="3" fillId="0" borderId="1" xfId="3" applyNumberFormat="1" applyBorder="1" applyAlignment="1">
      <alignment wrapText="1"/>
    </xf>
    <xf numFmtId="173" fontId="3" fillId="0" borderId="0" xfId="3" applyNumberFormat="1"/>
    <xf numFmtId="165" fontId="3" fillId="0" borderId="0" xfId="3" applyNumberFormat="1"/>
    <xf numFmtId="17" fontId="3" fillId="0" borderId="0" xfId="3" applyNumberFormat="1"/>
    <xf numFmtId="0" fontId="3" fillId="0" borderId="1" xfId="5" applyFont="1" applyBorder="1"/>
    <xf numFmtId="0" fontId="3" fillId="0" borderId="2" xfId="5" applyFont="1" applyBorder="1"/>
    <xf numFmtId="0" fontId="8" fillId="0" borderId="0" xfId="6" applyAlignment="1" applyProtection="1"/>
    <xf numFmtId="172" fontId="3" fillId="0" borderId="4" xfId="5" applyNumberFormat="1" applyFont="1" applyBorder="1"/>
    <xf numFmtId="167" fontId="3" fillId="0" borderId="1" xfId="5" applyNumberFormat="1" applyFont="1" applyBorder="1"/>
    <xf numFmtId="169" fontId="3" fillId="0" borderId="0" xfId="5" applyNumberFormat="1" applyFont="1"/>
    <xf numFmtId="172" fontId="3" fillId="0" borderId="0" xfId="5" applyNumberFormat="1" applyFont="1" applyAlignment="1">
      <alignment horizontal="right"/>
    </xf>
    <xf numFmtId="0" fontId="3" fillId="0" borderId="0" xfId="3" applyAlignment="1">
      <alignment horizontal="left" wrapText="1"/>
    </xf>
    <xf numFmtId="169" fontId="3" fillId="0" borderId="0" xfId="3" applyNumberFormat="1" applyAlignment="1">
      <alignment wrapText="1"/>
    </xf>
    <xf numFmtId="0" fontId="3" fillId="0" borderId="0" xfId="3" applyAlignment="1">
      <alignment wrapText="1"/>
    </xf>
    <xf numFmtId="169" fontId="3" fillId="0" borderId="4" xfId="3" applyNumberFormat="1" applyBorder="1" applyAlignment="1">
      <alignment wrapText="1"/>
    </xf>
    <xf numFmtId="174" fontId="3" fillId="0" borderId="0" xfId="3" applyNumberFormat="1"/>
    <xf numFmtId="164" fontId="3" fillId="0" borderId="0" xfId="3" applyNumberFormat="1"/>
    <xf numFmtId="0" fontId="3" fillId="4" borderId="0" xfId="3" applyFill="1"/>
    <xf numFmtId="175" fontId="3" fillId="0" borderId="0" xfId="3" applyNumberFormat="1"/>
    <xf numFmtId="0" fontId="3" fillId="0" borderId="4" xfId="3" applyBorder="1" applyAlignment="1">
      <alignment horizontal="left"/>
    </xf>
    <xf numFmtId="175" fontId="3" fillId="0" borderId="4" xfId="3" applyNumberFormat="1" applyBorder="1"/>
    <xf numFmtId="175" fontId="3" fillId="0" borderId="1" xfId="3" applyNumberFormat="1" applyBorder="1"/>
    <xf numFmtId="49" fontId="3" fillId="0" borderId="2" xfId="3" applyNumberFormat="1" applyBorder="1" applyAlignment="1">
      <alignment horizontal="left"/>
    </xf>
    <xf numFmtId="2" fontId="3" fillId="0" borderId="0" xfId="3" applyNumberFormat="1" applyAlignment="1">
      <alignment horizontal="right"/>
    </xf>
    <xf numFmtId="165" fontId="7" fillId="0" borderId="0" xfId="3" applyNumberFormat="1" applyFont="1"/>
    <xf numFmtId="2" fontId="6" fillId="0" borderId="1" xfId="4" applyNumberFormat="1" applyFont="1" applyBorder="1"/>
    <xf numFmtId="2" fontId="6" fillId="0" borderId="0" xfId="4" applyNumberFormat="1" applyFont="1"/>
    <xf numFmtId="0" fontId="8" fillId="0" borderId="0" xfId="6" applyFill="1" applyAlignment="1" applyProtection="1"/>
    <xf numFmtId="169" fontId="3" fillId="0" borderId="1" xfId="5" applyNumberFormat="1" applyFont="1" applyBorder="1"/>
    <xf numFmtId="0" fontId="11" fillId="0" borderId="0" xfId="0" applyFont="1"/>
    <xf numFmtId="3" fontId="3" fillId="0" borderId="0" xfId="3" applyNumberFormat="1"/>
    <xf numFmtId="172" fontId="3" fillId="0" borderId="0" xfId="3" applyNumberFormat="1" applyAlignment="1">
      <alignment horizontal="right"/>
    </xf>
    <xf numFmtId="10" fontId="3" fillId="0" borderId="0" xfId="10" applyNumberFormat="1" applyFont="1"/>
    <xf numFmtId="176" fontId="3" fillId="0" borderId="0" xfId="3" applyNumberFormat="1"/>
    <xf numFmtId="10" fontId="3" fillId="0" borderId="0" xfId="10" applyNumberFormat="1" applyFont="1" applyFill="1" applyBorder="1" applyAlignment="1" applyProtection="1"/>
    <xf numFmtId="0" fontId="5" fillId="0" borderId="2" xfId="3" applyFont="1" applyBorder="1" applyAlignment="1">
      <alignment horizontal="left"/>
    </xf>
    <xf numFmtId="169" fontId="3" fillId="0" borderId="2" xfId="3" applyNumberFormat="1" applyBorder="1"/>
    <xf numFmtId="172" fontId="3" fillId="0" borderId="0" xfId="3" applyNumberFormat="1"/>
    <xf numFmtId="0" fontId="14" fillId="0" borderId="0" xfId="6" applyFont="1" applyAlignment="1" applyProtection="1">
      <alignment vertical="center"/>
    </xf>
    <xf numFmtId="2" fontId="6" fillId="0" borderId="0" xfId="0" applyNumberFormat="1" applyFont="1" applyAlignment="1">
      <alignment horizontal="right"/>
    </xf>
    <xf numFmtId="172" fontId="11" fillId="0" borderId="0" xfId="0" applyNumberFormat="1" applyFont="1" applyAlignment="1">
      <alignment horizontal="right"/>
    </xf>
    <xf numFmtId="4" fontId="3" fillId="0" borderId="0" xfId="3" applyNumberFormat="1"/>
    <xf numFmtId="172" fontId="11" fillId="0" borderId="0" xfId="0" applyNumberFormat="1" applyFont="1"/>
    <xf numFmtId="178" fontId="3" fillId="0" borderId="0" xfId="3" applyNumberFormat="1" applyAlignment="1">
      <alignment horizontal="right"/>
    </xf>
    <xf numFmtId="179" fontId="3" fillId="0" borderId="0" xfId="3" applyNumberFormat="1" applyAlignment="1">
      <alignment horizontal="right"/>
    </xf>
    <xf numFmtId="172" fontId="3" fillId="0" borderId="1" xfId="3" applyNumberFormat="1" applyBorder="1"/>
    <xf numFmtId="0" fontId="14" fillId="0" borderId="0" xfId="6" applyFont="1" applyFill="1" applyAlignment="1" applyProtection="1"/>
    <xf numFmtId="0" fontId="3" fillId="0" borderId="1" xfId="3" applyBorder="1" applyAlignment="1">
      <alignment horizontal="right" wrapText="1"/>
    </xf>
    <xf numFmtId="177" fontId="3" fillId="0" borderId="0" xfId="3" applyNumberFormat="1" applyAlignment="1">
      <alignment horizontal="left"/>
    </xf>
    <xf numFmtId="172" fontId="3" fillId="0" borderId="3" xfId="5" applyNumberFormat="1" applyFont="1" applyBorder="1" applyAlignment="1">
      <alignment horizontal="right"/>
    </xf>
    <xf numFmtId="0" fontId="11" fillId="0" borderId="2" xfId="0" applyFont="1" applyBorder="1"/>
    <xf numFmtId="0" fontId="15" fillId="0" borderId="0" xfId="0" applyFont="1" applyAlignment="1">
      <alignment vertical="center"/>
    </xf>
    <xf numFmtId="0" fontId="13" fillId="0" borderId="0" xfId="0" applyFont="1"/>
    <xf numFmtId="164" fontId="6" fillId="0" borderId="2" xfId="0" applyNumberFormat="1" applyFont="1" applyBorder="1"/>
    <xf numFmtId="164" fontId="6" fillId="0" borderId="4" xfId="0" applyNumberFormat="1" applyFont="1" applyBorder="1"/>
    <xf numFmtId="164" fontId="3" fillId="0" borderId="4" xfId="0" applyNumberFormat="1" applyFont="1" applyBorder="1"/>
    <xf numFmtId="172" fontId="6" fillId="0" borderId="4" xfId="0" applyNumberFormat="1" applyFont="1" applyBorder="1"/>
    <xf numFmtId="166" fontId="3" fillId="0" borderId="0" xfId="3" applyNumberFormat="1" applyAlignment="1">
      <alignment wrapText="1"/>
    </xf>
    <xf numFmtId="164" fontId="6" fillId="0" borderId="0" xfId="0" applyNumberFormat="1" applyFont="1" applyAlignment="1">
      <alignment horizontal="right"/>
    </xf>
    <xf numFmtId="164" fontId="6" fillId="0" borderId="1" xfId="0" applyNumberFormat="1" applyFont="1" applyBorder="1" applyAlignment="1">
      <alignment horizontal="right"/>
    </xf>
    <xf numFmtId="180" fontId="3" fillId="0" borderId="0" xfId="3" applyNumberFormat="1"/>
    <xf numFmtId="2" fontId="3" fillId="0" borderId="0" xfId="5" applyNumberFormat="1" applyFont="1"/>
    <xf numFmtId="170" fontId="3" fillId="0" borderId="4" xfId="3" applyNumberFormat="1" applyBorder="1" applyAlignment="1">
      <alignment wrapText="1"/>
    </xf>
    <xf numFmtId="0" fontId="3" fillId="0" borderId="3" xfId="3" applyBorder="1" applyAlignment="1">
      <alignment horizontal="right" vertical="top" wrapText="1"/>
    </xf>
    <xf numFmtId="0" fontId="3" fillId="0" borderId="3" xfId="3" applyBorder="1" applyAlignment="1">
      <alignment horizontal="left" vertical="top" wrapText="1"/>
    </xf>
    <xf numFmtId="0" fontId="3" fillId="0" borderId="0" xfId="0" applyFont="1" applyAlignment="1">
      <alignment horizontal="left"/>
    </xf>
    <xf numFmtId="9" fontId="3" fillId="0" borderId="0" xfId="10" applyFont="1"/>
    <xf numFmtId="172" fontId="3" fillId="0" borderId="1" xfId="9" applyNumberFormat="1" applyBorder="1"/>
    <xf numFmtId="172" fontId="11" fillId="0" borderId="4" xfId="0" applyNumberFormat="1" applyFont="1" applyBorder="1" applyAlignment="1">
      <alignment horizontal="right"/>
    </xf>
    <xf numFmtId="172" fontId="11" fillId="0" borderId="4" xfId="0" applyNumberFormat="1" applyFont="1" applyBorder="1"/>
    <xf numFmtId="172" fontId="11" fillId="3" borderId="0" xfId="0" applyNumberFormat="1" applyFont="1" applyFill="1" applyAlignment="1">
      <alignment horizontal="right"/>
    </xf>
    <xf numFmtId="172" fontId="11" fillId="0" borderId="1" xfId="0" applyNumberFormat="1" applyFont="1" applyBorder="1"/>
    <xf numFmtId="0" fontId="5" fillId="0" borderId="1" xfId="0" quotePrefix="1" applyFont="1" applyBorder="1" applyAlignment="1">
      <alignment horizontal="center"/>
    </xf>
    <xf numFmtId="0" fontId="3" fillId="0" borderId="2" xfId="5" applyFont="1" applyBorder="1" applyAlignment="1">
      <alignment horizontal="left" wrapText="1"/>
    </xf>
    <xf numFmtId="0" fontId="5" fillId="0" borderId="0" xfId="2" applyFont="1" applyFill="1" applyBorder="1"/>
    <xf numFmtId="0" fontId="17" fillId="5" borderId="5" xfId="0" applyFont="1" applyFill="1" applyBorder="1"/>
    <xf numFmtId="0" fontId="16" fillId="5" borderId="5" xfId="0" applyFont="1" applyFill="1" applyBorder="1"/>
    <xf numFmtId="0" fontId="0" fillId="3" borderId="0" xfId="0" applyFill="1"/>
    <xf numFmtId="0" fontId="18" fillId="6" borderId="5" xfId="0" applyFont="1" applyFill="1" applyBorder="1"/>
    <xf numFmtId="0" fontId="19" fillId="6" borderId="5" xfId="0" applyFont="1" applyFill="1" applyBorder="1"/>
    <xf numFmtId="0" fontId="8" fillId="3" borderId="0" xfId="6" applyFill="1" applyAlignment="1" applyProtection="1"/>
    <xf numFmtId="0" fontId="20" fillId="3" borderId="0" xfId="6" applyFont="1" applyFill="1" applyAlignment="1" applyProtection="1"/>
    <xf numFmtId="0" fontId="20" fillId="3" borderId="0" xfId="6" applyFont="1" applyFill="1" applyAlignment="1" applyProtection="1">
      <alignment horizontal="left" wrapText="1"/>
    </xf>
    <xf numFmtId="0" fontId="9" fillId="0" borderId="0" xfId="0" applyFont="1"/>
    <xf numFmtId="172" fontId="9" fillId="0" borderId="0" xfId="0" applyNumberFormat="1" applyFont="1" applyAlignment="1">
      <alignment horizontal="right"/>
    </xf>
    <xf numFmtId="172" fontId="5" fillId="0" borderId="0" xfId="3" applyNumberFormat="1" applyFont="1" applyAlignment="1">
      <alignment horizontal="right"/>
    </xf>
    <xf numFmtId="172" fontId="3" fillId="0" borderId="1" xfId="3" applyNumberFormat="1" applyBorder="1" applyAlignment="1">
      <alignment horizontal="right"/>
    </xf>
    <xf numFmtId="172" fontId="5" fillId="0" borderId="0" xfId="3" applyNumberFormat="1" applyFont="1" applyAlignment="1">
      <alignment horizontal="left"/>
    </xf>
    <xf numFmtId="172" fontId="3" fillId="0" borderId="1" xfId="5" applyNumberFormat="1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72" fontId="5" fillId="0" borderId="2" xfId="5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172" fontId="5" fillId="0" borderId="0" xfId="5" applyNumberFormat="1" applyFont="1" applyAlignment="1">
      <alignment horizontal="left"/>
    </xf>
    <xf numFmtId="172" fontId="5" fillId="0" borderId="0" xfId="5" applyNumberFormat="1" applyFont="1" applyAlignment="1">
      <alignment horizontal="right"/>
    </xf>
    <xf numFmtId="0" fontId="5" fillId="0" borderId="0" xfId="3" applyFont="1" applyAlignment="1">
      <alignment horizontal="left" vertical="top"/>
    </xf>
    <xf numFmtId="0" fontId="3" fillId="0" borderId="1" xfId="5" applyFont="1" applyBorder="1" applyAlignment="1">
      <alignment horizontal="left" wrapText="1"/>
    </xf>
    <xf numFmtId="164" fontId="3" fillId="0" borderId="0" xfId="0" applyNumberFormat="1" applyFont="1"/>
    <xf numFmtId="0" fontId="3" fillId="0" borderId="0" xfId="5" applyFont="1" applyAlignment="1">
      <alignment horizontal="left" wrapText="1"/>
    </xf>
    <xf numFmtId="0" fontId="8" fillId="3" borderId="5" xfId="6" applyFill="1" applyBorder="1" applyAlignment="1" applyProtection="1">
      <alignment horizontal="left" wrapText="1"/>
    </xf>
    <xf numFmtId="0" fontId="0" fillId="3" borderId="0" xfId="0" applyFill="1" applyAlignment="1">
      <alignment horizontal="left" wrapText="1"/>
    </xf>
    <xf numFmtId="0" fontId="8" fillId="3" borderId="0" xfId="6" applyFill="1" applyAlignment="1" applyProtection="1">
      <alignment horizontal="left" wrapText="1"/>
    </xf>
    <xf numFmtId="0" fontId="8" fillId="3" borderId="0" xfId="6" applyFill="1" applyBorder="1" applyAlignment="1" applyProtection="1">
      <alignment horizontal="left" wrapText="1"/>
    </xf>
    <xf numFmtId="0" fontId="8" fillId="0" borderId="0" xfId="6" applyFill="1" applyAlignment="1" applyProtection="1"/>
    <xf numFmtId="0" fontId="9" fillId="0" borderId="1" xfId="0" applyFont="1" applyBorder="1" applyAlignment="1">
      <alignment horizont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left" vertical="top" wrapText="1"/>
    </xf>
    <xf numFmtId="0" fontId="3" fillId="0" borderId="1" xfId="3" applyBorder="1"/>
    <xf numFmtId="0" fontId="3" fillId="0" borderId="2" xfId="3" applyBorder="1" applyAlignment="1">
      <alignment horizontal="left" wrapText="1"/>
    </xf>
    <xf numFmtId="0" fontId="3" fillId="0" borderId="0" xfId="3" applyAlignment="1">
      <alignment horizontal="left" wrapText="1"/>
    </xf>
    <xf numFmtId="0" fontId="5" fillId="0" borderId="1" xfId="3" applyFont="1" applyBorder="1" applyAlignment="1">
      <alignment horizontal="center"/>
    </xf>
    <xf numFmtId="0" fontId="5" fillId="0" borderId="0" xfId="3" applyFont="1" applyAlignment="1">
      <alignment vertical="top" wrapText="1"/>
    </xf>
    <xf numFmtId="0" fontId="5" fillId="0" borderId="1" xfId="3" quotePrefix="1" applyFont="1" applyBorder="1" applyAlignment="1">
      <alignment horizontal="center"/>
    </xf>
    <xf numFmtId="0" fontId="3" fillId="0" borderId="2" xfId="3" applyBorder="1" applyAlignment="1">
      <alignment horizontal="center" wrapText="1"/>
    </xf>
    <xf numFmtId="0" fontId="3" fillId="0" borderId="1" xfId="3" applyBorder="1" applyAlignment="1">
      <alignment horizontal="center" wrapText="1"/>
    </xf>
    <xf numFmtId="0" fontId="3" fillId="0" borderId="2" xfId="3" applyBorder="1" applyAlignment="1">
      <alignment horizontal="center"/>
    </xf>
    <xf numFmtId="0" fontId="3" fillId="0" borderId="2" xfId="3" applyBorder="1" applyAlignment="1">
      <alignment horizontal="left" vertical="top" wrapText="1"/>
    </xf>
    <xf numFmtId="0" fontId="3" fillId="0" borderId="1" xfId="3" applyBorder="1" applyAlignment="1">
      <alignment horizontal="left" vertical="top" wrapText="1"/>
    </xf>
    <xf numFmtId="0" fontId="5" fillId="0" borderId="2" xfId="3" applyFont="1" applyBorder="1" applyAlignment="1">
      <alignment horizontal="center"/>
    </xf>
    <xf numFmtId="0" fontId="3" fillId="0" borderId="0" xfId="3" applyAlignment="1">
      <alignment horizontal="left" vertical="top" wrapText="1"/>
    </xf>
    <xf numFmtId="0" fontId="3" fillId="0" borderId="2" xfId="5" applyFont="1" applyBorder="1" applyAlignment="1">
      <alignment horizontal="left" wrapText="1"/>
    </xf>
    <xf numFmtId="0" fontId="3" fillId="0" borderId="0" xfId="5" applyFont="1" applyAlignment="1">
      <alignment horizontal="left" wrapText="1"/>
    </xf>
    <xf numFmtId="0" fontId="3" fillId="0" borderId="3" xfId="5" applyFont="1" applyBorder="1" applyAlignment="1">
      <alignment horizontal="center"/>
    </xf>
    <xf numFmtId="0" fontId="3" fillId="0" borderId="1" xfId="5" applyFont="1" applyBorder="1" applyAlignment="1">
      <alignment horizontal="left" wrapText="1"/>
    </xf>
    <xf numFmtId="0" fontId="3" fillId="0" borderId="1" xfId="3" applyBorder="1" applyAlignment="1">
      <alignment horizontal="left" wrapText="1"/>
    </xf>
    <xf numFmtId="0" fontId="3" fillId="0" borderId="1" xfId="3" applyBorder="1" applyAlignment="1">
      <alignment wrapText="1"/>
    </xf>
    <xf numFmtId="0" fontId="3" fillId="0" borderId="0" xfId="3" applyAlignment="1">
      <alignment wrapText="1"/>
    </xf>
    <xf numFmtId="0" fontId="5" fillId="0" borderId="1" xfId="5" applyFont="1" applyBorder="1" applyAlignment="1">
      <alignment horizontal="center"/>
    </xf>
  </cellXfs>
  <cellStyles count="11">
    <cellStyle name="Comma" xfId="1" builtinId="3"/>
    <cellStyle name="Comma 2" xfId="7" xr:uid="{00000000-0005-0000-0000-000001000000}"/>
    <cellStyle name="Comma 3" xfId="8" xr:uid="{00000000-0005-0000-0000-000002000000}"/>
    <cellStyle name="Hyperlink" xfId="6" builtinId="8"/>
    <cellStyle name="Neutral" xfId="2" builtinId="28"/>
    <cellStyle name="Normal" xfId="0" builtinId="0"/>
    <cellStyle name="Normal 2" xfId="3" xr:uid="{00000000-0005-0000-0000-000006000000}"/>
    <cellStyle name="Normal 2 2" xfId="5" xr:uid="{00000000-0005-0000-0000-000007000000}"/>
    <cellStyle name="Normal 2 2 2" xfId="9" xr:uid="{00000000-0005-0000-0000-000008000000}"/>
    <cellStyle name="Normal 5" xfId="4" xr:uid="{00000000-0005-0000-0000-000009000000}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6350</xdr:colOff>
      <xdr:row>5</xdr:row>
      <xdr:rowOff>7636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43360-32BA-433E-9146-954672FA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82907" cy="932922"/>
        </a:xfrm>
        <a:prstGeom prst="rect">
          <a:avLst/>
        </a:prstGeom>
      </xdr:spPr>
    </xdr:pic>
    <xdr:clientData/>
  </xdr:twoCellAnchor>
  <xdr:twoCellAnchor>
    <xdr:from>
      <xdr:col>0</xdr:col>
      <xdr:colOff>139699</xdr:colOff>
      <xdr:row>0</xdr:row>
      <xdr:rowOff>139700</xdr:rowOff>
    </xdr:from>
    <xdr:to>
      <xdr:col>4</xdr:col>
      <xdr:colOff>196849</xdr:colOff>
      <xdr:row>4</xdr:row>
      <xdr:rowOff>67808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D00319-49E5-49D4-8500-649E8A8F7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699" y="139700"/>
          <a:ext cx="3780064" cy="6683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2-13\Program%20&amp;%20Resources%20Exp\RMS%20811C%20Reports\P05%20Nov%2012\1207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&amp;R\BITRE\ISTARSS\Yearbook\Infrastructure%20Yearbook\DRAFT%20Yearbook\Part%202%20-%20Transport\TABLES\Documents%20and%20Settings\LarkeyP\Local%20Settings\Temp\master%20treasury%2030%20APR%20200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deptinfrastructure-my.sharepoint.com/P&amp;R/BITRE/ISTARSS/Yearbook/Infrastructure%20Yearbook/DRAFT%20Yearbook/Part%202%20-%20Transport/TABLES/Documents%20and%20Settings/LarkeyP/Local%20Settings/Temp/master%20treasury%2030%20APR%202009.xls?04C0CAA6" TargetMode="External"/><Relationship Id="rId1" Type="http://schemas.openxmlformats.org/officeDocument/2006/relationships/externalLinkPath" Target="file:///\\04C0CAA6\master%20treasury%2030%20APR%20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UMRES\HRServs\IMS\5.0%20REPORTS\2.0%20Executive%20Reporting\1.0%20EFT%20Reports\01%20EFT%20Reports%20by%20Month_Working%20Area\9.0%202009\Apr%202009\Apr%202009\master%20treasury%2030%20APR%2020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&amp;R\BITRE\ISTARSS\Yearbook\Infrastructure%20Yearbook\DRAFT%20Yearbook\Part%202%20-%20Transport\TABLES\Temp\Treasury%20Templ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ptinfrastructure-my.sharepoint.com/P&amp;R/BITRE/ISTARSS/Yearbook/Infrastructure%20Yearbook/DRAFT%20Yearbook/Part%202%20-%20Transport/TABLES/Temp/Treasury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MSC"/>
      <sheetName val="Cameras &amp; Flashing Lights"/>
      <sheetName val="Report A"/>
      <sheetName val="Report A copy"/>
      <sheetName val="CRS IM Position"/>
      <sheetName val="Report"/>
      <sheetName val="UR"/>
      <sheetName val="MC"/>
      <sheetName val="ON"/>
      <sheetName val="OW"/>
      <sheetName val="OS"/>
      <sheetName val="OC"/>
      <sheetName val="OH"/>
      <sheetName val="OZ"/>
      <sheetName val="CL"/>
      <sheetName val="24109"/>
      <sheetName val="24101"/>
      <sheetName val="URa"/>
      <sheetName val="MCa"/>
      <sheetName val="Ra"/>
      <sheetName val="Ca"/>
      <sheetName val="ur11"/>
      <sheetName val="mc11"/>
      <sheetName val="ca11"/>
      <sheetName val="ra11"/>
      <sheetName val="RMS"/>
      <sheetName val="ra11r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 Component"/>
      <sheetName val="Grap Data"/>
      <sheetName val="Graph"/>
      <sheetName val="Control Sheet"/>
      <sheetName val="Sourcing"/>
      <sheetName val="Dashboard"/>
      <sheetName val="Executive"/>
      <sheetName val="Estimates"/>
      <sheetName val="Summary"/>
      <sheetName val="Prev HR Comp"/>
      <sheetName val="CE"/>
      <sheetName val="Bus Cor"/>
      <sheetName val="Corp"/>
      <sheetName val="DOES"/>
      <sheetName val="ENV"/>
      <sheetName val="FIN"/>
      <sheetName val="DVS"/>
      <sheetName val="LRF"/>
      <sheetName val="Maj"/>
      <sheetName val="NET"/>
      <sheetName val="EFT Last Year"/>
      <sheetName val="Grads Sheet"/>
      <sheetName val="Sheet10"/>
      <sheetName val="Sheet11"/>
      <sheetName val="Sheet12"/>
      <sheetName val="Sheet13"/>
      <sheetName val="EFT CUR"/>
      <sheetName val="REf Control"/>
      <sheetName val="REF NET"/>
      <sheetName val="BUS REf"/>
      <sheetName val="EVn REF"/>
      <sheetName val="FIN REf"/>
      <sheetName val="CE REF"/>
      <sheetName val="MAj Ref4"/>
      <sheetName val="Corp Ref"/>
      <sheetName val="DVS Control"/>
      <sheetName val="LRF REf"/>
      <sheetName val="OPS 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G12" t="str">
            <v>LICENSING, REGISTRATION &amp; FREIGHT</v>
          </cell>
        </row>
      </sheetData>
      <sheetData sheetId="28"/>
      <sheetData sheetId="29"/>
      <sheetData sheetId="30"/>
      <sheetData sheetId="31">
        <row r="5">
          <cell r="A5" t="str">
            <v>FINANCE &amp; PERFORMANCE</v>
          </cell>
        </row>
        <row r="29">
          <cell r="B29">
            <v>4</v>
          </cell>
        </row>
        <row r="37">
          <cell r="B37">
            <v>37.250000000000036</v>
          </cell>
          <cell r="C37">
            <v>41.250000000000036</v>
          </cell>
        </row>
      </sheetData>
      <sheetData sheetId="32">
        <row r="5">
          <cell r="A5" t="str">
            <v>CHIEF EXECUTIVE'S OFFICE</v>
          </cell>
        </row>
        <row r="7">
          <cell r="B7" t="str">
            <v>Legal Branch</v>
          </cell>
        </row>
        <row r="9">
          <cell r="B9" t="str">
            <v>Governance</v>
          </cell>
        </row>
      </sheetData>
      <sheetData sheetId="33">
        <row r="6">
          <cell r="A6" t="str">
            <v>MAJOR INFRASTRUCTURE</v>
          </cell>
        </row>
      </sheetData>
      <sheetData sheetId="34">
        <row r="5">
          <cell r="Z5" t="str">
            <v>Employment Category</v>
          </cell>
        </row>
        <row r="6">
          <cell r="A6" t="str">
            <v>CORPORATE SERVICES</v>
          </cell>
          <cell r="Z6" t="str">
            <v>Graduates</v>
          </cell>
        </row>
        <row r="8">
          <cell r="A8" t="str">
            <v>CORPORATE SERVICES</v>
          </cell>
        </row>
        <row r="34">
          <cell r="B34" t="str">
            <v>OCCUPATIONAL HEALTH &amp; SAFETY</v>
          </cell>
        </row>
        <row r="35">
          <cell r="B35" t="str">
            <v>RECORDS ACCESS UNIT</v>
          </cell>
        </row>
      </sheetData>
      <sheetData sheetId="35"/>
      <sheetData sheetId="36">
        <row r="28">
          <cell r="B28" t="str">
            <v>NATIONAL TRANSPORT POLICY UNIT</v>
          </cell>
        </row>
        <row r="34">
          <cell r="B34" t="str">
            <v>Business Strategy</v>
          </cell>
        </row>
        <row r="35">
          <cell r="B35" t="str">
            <v>Camera Enforcement</v>
          </cell>
        </row>
        <row r="36">
          <cell r="B36" t="str">
            <v>Compliance &amp; Freight Strategy</v>
          </cell>
        </row>
        <row r="37">
          <cell r="B37" t="str">
            <v>Driver &amp; Vehicle Services</v>
          </cell>
        </row>
        <row r="38">
          <cell r="B38" t="str">
            <v>Tolling Branch</v>
          </cell>
        </row>
        <row r="39">
          <cell r="B39" t="str">
            <v>Sanctions &amp; Prosecutions Branch</v>
          </cell>
        </row>
        <row r="40">
          <cell r="B40" t="str">
            <v>Road User Strategic Projects</v>
          </cell>
        </row>
        <row r="41">
          <cell r="B41" t="str">
            <v>Tow Truck Licensing &amp; Compliance</v>
          </cell>
        </row>
      </sheetData>
      <sheetData sheetId="37">
        <row r="27">
          <cell r="B27" t="str">
            <v>Director &amp; Staff</v>
          </cell>
        </row>
        <row r="28">
          <cell r="B28" t="str">
            <v>Engineering Technology</v>
          </cell>
        </row>
        <row r="29">
          <cell r="B29" t="str">
            <v>Strategy &amp; Performance</v>
          </cell>
        </row>
        <row r="30">
          <cell r="B30" t="str">
            <v>Road &amp; Fleet Services</v>
          </cell>
        </row>
        <row r="31">
          <cell r="B31" t="str">
            <v>Hunter Region</v>
          </cell>
        </row>
        <row r="32">
          <cell r="B32" t="str">
            <v>Northern Region</v>
          </cell>
        </row>
        <row r="33">
          <cell r="B33" t="str">
            <v>South West Region</v>
          </cell>
        </row>
        <row r="34">
          <cell r="B34" t="str">
            <v>Southern Region</v>
          </cell>
        </row>
        <row r="35">
          <cell r="B35" t="str">
            <v>Sydney Region</v>
          </cell>
        </row>
        <row r="36">
          <cell r="B36" t="str">
            <v>Western Region</v>
          </cell>
        </row>
        <row r="39">
          <cell r="A39" t="str">
            <v>Directorate</v>
          </cell>
          <cell r="B39" t="str">
            <v>Pos Description</v>
          </cell>
        </row>
        <row r="40">
          <cell r="A40" t="str">
            <v>OPERATIONS &amp; ENGINEERING SERVICES</v>
          </cell>
          <cell r="B40" t="str">
            <v>CIVIL CONSTRUCTION TRAINE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 Component"/>
      <sheetName val="Grap Data"/>
      <sheetName val="Graph"/>
      <sheetName val="Control Sheet"/>
      <sheetName val="Sourcing"/>
      <sheetName val="Dashboard"/>
      <sheetName val="Executive"/>
      <sheetName val="Estimates"/>
      <sheetName val="Summary"/>
      <sheetName val="Prev HR Comp"/>
      <sheetName val="CE"/>
      <sheetName val="Bus Cor"/>
      <sheetName val="Corp"/>
      <sheetName val="DOES"/>
      <sheetName val="ENV"/>
      <sheetName val="FIN"/>
      <sheetName val="DVS"/>
      <sheetName val="LRF"/>
      <sheetName val="Maj"/>
      <sheetName val="NET"/>
      <sheetName val="EFT Last Year"/>
      <sheetName val="Grads Sheet"/>
      <sheetName val="Sheet10"/>
      <sheetName val="Sheet11"/>
      <sheetName val="Sheet12"/>
      <sheetName val="Sheet13"/>
      <sheetName val="EFT CUR"/>
      <sheetName val="REf Control"/>
      <sheetName val="REF NET"/>
      <sheetName val="BUS REf"/>
      <sheetName val="EVn REF"/>
      <sheetName val="FIN REf"/>
      <sheetName val="CE REF"/>
      <sheetName val="MAj Ref4"/>
      <sheetName val="Corp Ref"/>
      <sheetName val="DVS Control"/>
      <sheetName val="LRF REf"/>
      <sheetName val="OPS 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G12" t="str">
            <v>LICENSING, REGISTRATION &amp; FREIGHT</v>
          </cell>
        </row>
      </sheetData>
      <sheetData sheetId="28"/>
      <sheetData sheetId="29"/>
      <sheetData sheetId="30"/>
      <sheetData sheetId="31">
        <row r="5">
          <cell r="A5" t="str">
            <v>FINANCE &amp; PERFORMANCE</v>
          </cell>
        </row>
        <row r="29">
          <cell r="B29">
            <v>4</v>
          </cell>
        </row>
        <row r="37">
          <cell r="B37">
            <v>37.250000000000036</v>
          </cell>
          <cell r="C37">
            <v>41.250000000000036</v>
          </cell>
        </row>
      </sheetData>
      <sheetData sheetId="32">
        <row r="5">
          <cell r="A5" t="str">
            <v>CHIEF EXECUTIVE'S OFFICE</v>
          </cell>
        </row>
        <row r="7">
          <cell r="B7" t="str">
            <v>Legal Branch</v>
          </cell>
        </row>
        <row r="9">
          <cell r="B9" t="str">
            <v>Governance</v>
          </cell>
        </row>
      </sheetData>
      <sheetData sheetId="33">
        <row r="6">
          <cell r="A6" t="str">
            <v>MAJOR INFRASTRUCTURE</v>
          </cell>
        </row>
      </sheetData>
      <sheetData sheetId="34">
        <row r="5">
          <cell r="Z5" t="str">
            <v>Employment Category</v>
          </cell>
        </row>
        <row r="6">
          <cell r="A6" t="str">
            <v>CORPORATE SERVICES</v>
          </cell>
          <cell r="Z6" t="str">
            <v>Graduates</v>
          </cell>
        </row>
        <row r="8">
          <cell r="A8" t="str">
            <v>CORPORATE SERVICES</v>
          </cell>
        </row>
        <row r="34">
          <cell r="B34" t="str">
            <v>OCCUPATIONAL HEALTH &amp; SAFETY</v>
          </cell>
        </row>
        <row r="35">
          <cell r="B35" t="str">
            <v>RECORDS ACCESS UNIT</v>
          </cell>
        </row>
      </sheetData>
      <sheetData sheetId="35"/>
      <sheetData sheetId="36">
        <row r="28">
          <cell r="B28" t="str">
            <v>NATIONAL TRANSPORT POLICY UNIT</v>
          </cell>
        </row>
        <row r="34">
          <cell r="B34" t="str">
            <v>Business Strategy</v>
          </cell>
        </row>
        <row r="35">
          <cell r="B35" t="str">
            <v>Camera Enforcement</v>
          </cell>
        </row>
        <row r="36">
          <cell r="B36" t="str">
            <v>Compliance &amp; Freight Strategy</v>
          </cell>
        </row>
        <row r="37">
          <cell r="B37" t="str">
            <v>Driver &amp; Vehicle Services</v>
          </cell>
        </row>
        <row r="38">
          <cell r="B38" t="str">
            <v>Tolling Branch</v>
          </cell>
        </row>
        <row r="39">
          <cell r="B39" t="str">
            <v>Sanctions &amp; Prosecutions Branch</v>
          </cell>
        </row>
        <row r="40">
          <cell r="B40" t="str">
            <v>Road User Strategic Projects</v>
          </cell>
        </row>
        <row r="41">
          <cell r="B41" t="str">
            <v>Tow Truck Licensing &amp; Compliance</v>
          </cell>
        </row>
      </sheetData>
      <sheetData sheetId="37">
        <row r="27">
          <cell r="B27" t="str">
            <v>Director &amp; Staff</v>
          </cell>
        </row>
        <row r="28">
          <cell r="B28" t="str">
            <v>Engineering Technology</v>
          </cell>
        </row>
        <row r="29">
          <cell r="B29" t="str">
            <v>Strategy &amp; Performance</v>
          </cell>
        </row>
        <row r="30">
          <cell r="B30" t="str">
            <v>Road &amp; Fleet Services</v>
          </cell>
        </row>
        <row r="31">
          <cell r="B31" t="str">
            <v>Hunter Region</v>
          </cell>
        </row>
        <row r="32">
          <cell r="B32" t="str">
            <v>Northern Region</v>
          </cell>
        </row>
        <row r="33">
          <cell r="B33" t="str">
            <v>South West Region</v>
          </cell>
        </row>
        <row r="34">
          <cell r="B34" t="str">
            <v>Southern Region</v>
          </cell>
        </row>
        <row r="35">
          <cell r="B35" t="str">
            <v>Sydney Region</v>
          </cell>
        </row>
        <row r="36">
          <cell r="B36" t="str">
            <v>Western Region</v>
          </cell>
        </row>
        <row r="39">
          <cell r="A39" t="str">
            <v>Directorate</v>
          </cell>
          <cell r="B39" t="str">
            <v>Pos Description</v>
          </cell>
        </row>
        <row r="40">
          <cell r="A40" t="str">
            <v>OPERATIONS &amp; ENGINEERING SERVICES</v>
          </cell>
          <cell r="B40" t="str">
            <v>CIVIL CONSTRUCTION TRAINE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 Component"/>
      <sheetName val="Grap Data"/>
      <sheetName val="Graph"/>
      <sheetName val="Control Sheet"/>
      <sheetName val="Sourcing"/>
      <sheetName val="Dashboard"/>
      <sheetName val="Executive"/>
      <sheetName val="Estimates"/>
      <sheetName val="Summary"/>
      <sheetName val="Prev HR Comp"/>
      <sheetName val="CE"/>
      <sheetName val="Bus Cor"/>
      <sheetName val="Corp"/>
      <sheetName val="DOES"/>
      <sheetName val="ENV"/>
      <sheetName val="FIN"/>
      <sheetName val="DVS"/>
      <sheetName val="LRF"/>
      <sheetName val="Maj"/>
      <sheetName val="NET"/>
      <sheetName val="EFT Last Year"/>
      <sheetName val="Grads Sheet"/>
      <sheetName val="Sheet10"/>
      <sheetName val="Sheet11"/>
      <sheetName val="Sheet12"/>
      <sheetName val="Sheet13"/>
      <sheetName val="EFT CUR"/>
      <sheetName val="REf Control"/>
      <sheetName val="REF NET"/>
      <sheetName val="BUS REf"/>
      <sheetName val="EVn REF"/>
      <sheetName val="FIN REf"/>
      <sheetName val="CE REF"/>
      <sheetName val="MAj Ref4"/>
      <sheetName val="Corp Ref"/>
      <sheetName val="DVS Control"/>
      <sheetName val="LRF REf"/>
      <sheetName val="OPS REF"/>
    </sheetNames>
    <sheetDataSet>
      <sheetData sheetId="0"/>
      <sheetData sheetId="1"/>
      <sheetData sheetId="2"/>
      <sheetData sheetId="3">
        <row r="2">
          <cell r="B2" t="str">
            <v>As at 30 Apr 2009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3">
          <cell r="C23">
            <v>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raph"/>
      <sheetName val="Staff List"/>
      <sheetName val="Data"/>
      <sheetName val="Dashboard-Finance"/>
      <sheetName val="Exec Table"/>
      <sheetName val="RTA"/>
      <sheetName val="CS"/>
      <sheetName val="CEO"/>
      <sheetName val="ENV"/>
      <sheetName val="FP"/>
      <sheetName val="LRF"/>
      <sheetName val="MI"/>
      <sheetName val="NM"/>
      <sheetName val="OES"/>
      <sheetName val="Ex-CRS"/>
      <sheetName val="Ex-DVS"/>
      <sheetName val="EX-Tolling"/>
      <sheetName val="Ex-SNP"/>
    </sheetNames>
    <sheetDataSet>
      <sheetData sheetId="0">
        <row r="2">
          <cell r="E2" t="str">
            <v>TREASURY REPORT (30 September 2009)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raph"/>
      <sheetName val="Staff List"/>
      <sheetName val="Data"/>
      <sheetName val="Dashboard-Finance"/>
      <sheetName val="Exec Table"/>
      <sheetName val="RTA"/>
      <sheetName val="CS"/>
      <sheetName val="CEO"/>
      <sheetName val="ENV"/>
      <sheetName val="FP"/>
      <sheetName val="LRF"/>
      <sheetName val="MI"/>
      <sheetName val="NM"/>
      <sheetName val="OES"/>
      <sheetName val="Ex-CRS"/>
      <sheetName val="Ex-DVS"/>
      <sheetName val="EX-Tolling"/>
      <sheetName val="Ex-SNP"/>
    </sheetNames>
    <sheetDataSet>
      <sheetData sheetId="0">
        <row r="2">
          <cell r="E2" t="str">
            <v>TREASURY REPORT (30 September 2009)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3C4C-6156-42DA-9445-901A829252C9}">
  <dimension ref="A7:I54"/>
  <sheetViews>
    <sheetView topLeftCell="A38" zoomScaleNormal="100" workbookViewId="0">
      <selection activeCell="A53" sqref="A53:I53"/>
    </sheetView>
  </sheetViews>
  <sheetFormatPr defaultColWidth="8.7109375" defaultRowHeight="15" x14ac:dyDescent="0.25"/>
  <cols>
    <col min="1" max="9" width="13.140625" style="165" customWidth="1"/>
    <col min="10" max="16384" width="8.7109375" style="165"/>
  </cols>
  <sheetData>
    <row r="7" spans="1:9" ht="15.75" x14ac:dyDescent="0.25">
      <c r="A7" s="163" t="s">
        <v>356</v>
      </c>
      <c r="B7" s="164"/>
      <c r="C7" s="164"/>
      <c r="D7" s="164"/>
      <c r="E7" s="164"/>
      <c r="F7" s="164"/>
      <c r="G7" s="164"/>
      <c r="H7" s="164"/>
      <c r="I7" s="164"/>
    </row>
    <row r="8" spans="1:9" ht="15.75" x14ac:dyDescent="0.25">
      <c r="A8" s="163" t="s">
        <v>357</v>
      </c>
      <c r="B8" s="164"/>
      <c r="C8" s="164"/>
      <c r="D8" s="164"/>
      <c r="E8" s="164"/>
      <c r="F8" s="164"/>
      <c r="G8" s="164"/>
      <c r="H8" s="164"/>
      <c r="I8" s="164"/>
    </row>
    <row r="9" spans="1:9" ht="15.75" x14ac:dyDescent="0.25">
      <c r="A9" s="166" t="s">
        <v>358</v>
      </c>
      <c r="B9" s="167"/>
      <c r="C9" s="167"/>
      <c r="D9" s="167"/>
      <c r="E9" s="167"/>
      <c r="F9" s="167"/>
      <c r="G9" s="167"/>
      <c r="H9" s="167"/>
      <c r="I9" s="167"/>
    </row>
    <row r="10" spans="1:9" ht="14.45" customHeight="1" x14ac:dyDescent="0.25">
      <c r="A10" s="190" t="s">
        <v>359</v>
      </c>
      <c r="B10" s="190"/>
      <c r="C10" s="190"/>
      <c r="D10" s="190"/>
      <c r="E10" s="190"/>
      <c r="F10" s="190"/>
      <c r="G10" s="190"/>
      <c r="H10" s="190"/>
      <c r="I10" s="190"/>
    </row>
    <row r="11" spans="1:9" ht="14.45" customHeight="1" x14ac:dyDescent="0.25">
      <c r="A11" s="188" t="s">
        <v>360</v>
      </c>
      <c r="B11" s="188"/>
      <c r="C11" s="188"/>
      <c r="D11" s="188"/>
      <c r="E11" s="188"/>
      <c r="F11" s="188"/>
      <c r="G11" s="188"/>
      <c r="H11" s="188"/>
      <c r="I11" s="188"/>
    </row>
    <row r="12" spans="1:9" s="168" customFormat="1" ht="14.45" customHeight="1" x14ac:dyDescent="0.25">
      <c r="A12" s="168" t="s">
        <v>361</v>
      </c>
      <c r="B12" s="169"/>
      <c r="C12" s="169"/>
      <c r="D12" s="169"/>
      <c r="E12" s="169"/>
      <c r="F12" s="169"/>
      <c r="G12" s="169"/>
      <c r="H12" s="169"/>
      <c r="I12" s="169"/>
    </row>
    <row r="13" spans="1:9" ht="14.45" customHeight="1" x14ac:dyDescent="0.25">
      <c r="A13" s="188" t="s">
        <v>362</v>
      </c>
      <c r="B13" s="188"/>
      <c r="C13" s="188"/>
      <c r="D13" s="188"/>
      <c r="E13" s="188"/>
      <c r="F13" s="188"/>
      <c r="G13" s="188"/>
      <c r="H13" s="188"/>
      <c r="I13" s="188"/>
    </row>
    <row r="14" spans="1:9" ht="14.45" customHeight="1" x14ac:dyDescent="0.25">
      <c r="A14" s="188" t="s">
        <v>363</v>
      </c>
      <c r="B14" s="188"/>
      <c r="C14" s="188"/>
      <c r="D14" s="188"/>
      <c r="E14" s="188"/>
      <c r="F14" s="188"/>
      <c r="G14" s="188"/>
      <c r="H14" s="188"/>
      <c r="I14" s="188"/>
    </row>
    <row r="15" spans="1:9" ht="14.45" customHeight="1" x14ac:dyDescent="0.25">
      <c r="A15" s="188" t="s">
        <v>285</v>
      </c>
      <c r="B15" s="188"/>
      <c r="C15" s="188"/>
      <c r="D15" s="188"/>
      <c r="E15" s="188"/>
      <c r="F15" s="188"/>
      <c r="G15" s="188"/>
      <c r="H15" s="188"/>
      <c r="I15" s="188"/>
    </row>
    <row r="16" spans="1:9" s="168" customFormat="1" ht="14.45" customHeight="1" x14ac:dyDescent="0.2">
      <c r="A16" s="190" t="s">
        <v>364</v>
      </c>
      <c r="B16" s="190"/>
      <c r="C16" s="190"/>
      <c r="D16" s="190"/>
      <c r="E16" s="190"/>
      <c r="F16" s="190"/>
      <c r="G16" s="190"/>
      <c r="H16" s="190"/>
      <c r="I16" s="190"/>
    </row>
    <row r="17" spans="1:9" ht="14.45" customHeight="1" x14ac:dyDescent="0.25">
      <c r="A17" s="188" t="s">
        <v>365</v>
      </c>
      <c r="B17" s="188"/>
      <c r="C17" s="188"/>
      <c r="D17" s="188"/>
      <c r="E17" s="188"/>
      <c r="F17" s="188"/>
      <c r="G17" s="188"/>
      <c r="H17" s="188"/>
      <c r="I17" s="188"/>
    </row>
    <row r="18" spans="1:9" ht="14.45" customHeight="1" x14ac:dyDescent="0.25">
      <c r="A18" s="188" t="s">
        <v>264</v>
      </c>
      <c r="B18" s="188"/>
      <c r="C18" s="188"/>
      <c r="D18" s="188"/>
      <c r="E18" s="188"/>
      <c r="F18" s="188"/>
      <c r="G18" s="188"/>
      <c r="H18" s="188"/>
      <c r="I18" s="188"/>
    </row>
    <row r="19" spans="1:9" ht="14.45" customHeight="1" x14ac:dyDescent="0.25">
      <c r="A19" s="188" t="s">
        <v>265</v>
      </c>
      <c r="B19" s="188"/>
      <c r="C19" s="188"/>
      <c r="D19" s="188"/>
      <c r="E19" s="188"/>
      <c r="F19" s="188"/>
      <c r="G19" s="188"/>
      <c r="H19" s="188"/>
      <c r="I19" s="188"/>
    </row>
    <row r="20" spans="1:9" ht="14.45" customHeight="1" x14ac:dyDescent="0.25">
      <c r="A20" s="188" t="s">
        <v>266</v>
      </c>
      <c r="B20" s="188"/>
      <c r="C20" s="188"/>
      <c r="D20" s="188"/>
      <c r="E20" s="188"/>
      <c r="F20" s="188"/>
      <c r="G20" s="188"/>
      <c r="H20" s="188"/>
      <c r="I20" s="188"/>
    </row>
    <row r="21" spans="1:9" ht="14.45" customHeight="1" x14ac:dyDescent="0.25">
      <c r="A21" s="188" t="s">
        <v>366</v>
      </c>
      <c r="B21" s="188"/>
      <c r="C21" s="188"/>
      <c r="D21" s="188"/>
      <c r="E21" s="188"/>
      <c r="F21" s="188"/>
      <c r="G21" s="188"/>
      <c r="H21" s="188"/>
      <c r="I21" s="188"/>
    </row>
    <row r="22" spans="1:9" ht="14.45" customHeight="1" x14ac:dyDescent="0.25">
      <c r="A22" s="188" t="s">
        <v>367</v>
      </c>
      <c r="B22" s="188"/>
      <c r="C22" s="188"/>
      <c r="D22" s="188"/>
      <c r="E22" s="188"/>
      <c r="F22" s="188"/>
      <c r="G22" s="188"/>
      <c r="H22" s="188"/>
      <c r="I22" s="188"/>
    </row>
    <row r="23" spans="1:9" ht="14.45" customHeight="1" x14ac:dyDescent="0.25">
      <c r="A23" s="188" t="s">
        <v>368</v>
      </c>
      <c r="B23" s="188"/>
      <c r="C23" s="188"/>
      <c r="D23" s="188"/>
      <c r="E23" s="188"/>
      <c r="F23" s="188"/>
      <c r="G23" s="188"/>
      <c r="H23" s="188"/>
      <c r="I23" s="188"/>
    </row>
    <row r="24" spans="1:9" ht="14.45" customHeight="1" x14ac:dyDescent="0.25">
      <c r="A24" s="188" t="s">
        <v>263</v>
      </c>
      <c r="B24" s="188"/>
      <c r="C24" s="188"/>
      <c r="D24" s="188"/>
      <c r="E24" s="188"/>
      <c r="F24" s="188"/>
      <c r="G24" s="188"/>
      <c r="H24" s="188"/>
      <c r="I24" s="188"/>
    </row>
    <row r="25" spans="1:9" s="168" customFormat="1" ht="12.75" x14ac:dyDescent="0.2">
      <c r="A25" s="188" t="s">
        <v>254</v>
      </c>
      <c r="B25" s="188"/>
      <c r="C25" s="188"/>
      <c r="D25" s="188"/>
      <c r="E25" s="188"/>
      <c r="F25" s="188"/>
      <c r="G25" s="188"/>
      <c r="H25" s="188"/>
      <c r="I25" s="188"/>
    </row>
    <row r="26" spans="1:9" ht="14.45" customHeight="1" x14ac:dyDescent="0.25">
      <c r="A26" s="188" t="s">
        <v>255</v>
      </c>
      <c r="B26" s="188"/>
      <c r="C26" s="188"/>
      <c r="D26" s="188"/>
      <c r="E26" s="188"/>
      <c r="F26" s="188"/>
      <c r="G26" s="188"/>
      <c r="H26" s="188"/>
      <c r="I26" s="188"/>
    </row>
    <row r="27" spans="1:9" ht="14.45" customHeight="1" x14ac:dyDescent="0.25">
      <c r="A27" s="188" t="s">
        <v>256</v>
      </c>
      <c r="B27" s="188"/>
      <c r="C27" s="188"/>
      <c r="D27" s="188"/>
      <c r="E27" s="188"/>
      <c r="F27" s="188"/>
      <c r="G27" s="188"/>
      <c r="H27" s="188"/>
      <c r="I27" s="188"/>
    </row>
    <row r="28" spans="1:9" ht="14.45" customHeight="1" x14ac:dyDescent="0.25">
      <c r="A28" s="188" t="s">
        <v>257</v>
      </c>
      <c r="B28" s="188"/>
      <c r="C28" s="188"/>
      <c r="D28" s="188"/>
      <c r="E28" s="188"/>
      <c r="F28" s="188"/>
      <c r="G28" s="188"/>
      <c r="H28" s="188"/>
      <c r="I28" s="188"/>
    </row>
    <row r="29" spans="1:9" ht="14.45" customHeight="1" x14ac:dyDescent="0.25">
      <c r="A29" s="188" t="s">
        <v>258</v>
      </c>
      <c r="B29" s="188"/>
      <c r="C29" s="188"/>
      <c r="D29" s="188"/>
      <c r="E29" s="188"/>
      <c r="F29" s="188"/>
      <c r="G29" s="188"/>
      <c r="H29" s="188"/>
      <c r="I29" s="188"/>
    </row>
    <row r="30" spans="1:9" ht="14.45" customHeight="1" x14ac:dyDescent="0.25">
      <c r="A30" s="188" t="s">
        <v>259</v>
      </c>
      <c r="B30" s="188"/>
      <c r="C30" s="188"/>
      <c r="D30" s="188"/>
      <c r="E30" s="188"/>
      <c r="F30" s="188"/>
      <c r="G30" s="188"/>
      <c r="H30" s="188"/>
      <c r="I30" s="188"/>
    </row>
    <row r="31" spans="1:9" ht="14.45" customHeight="1" x14ac:dyDescent="0.25">
      <c r="A31" s="188" t="s">
        <v>260</v>
      </c>
      <c r="B31" s="188"/>
      <c r="C31" s="188"/>
      <c r="D31" s="188"/>
      <c r="E31" s="188"/>
      <c r="F31" s="188"/>
      <c r="G31" s="188"/>
      <c r="H31" s="188"/>
      <c r="I31" s="188"/>
    </row>
    <row r="32" spans="1:9" ht="14.45" customHeight="1" x14ac:dyDescent="0.25">
      <c r="A32" s="188" t="s">
        <v>261</v>
      </c>
      <c r="B32" s="188"/>
      <c r="C32" s="188"/>
      <c r="D32" s="188"/>
      <c r="E32" s="188"/>
      <c r="F32" s="188"/>
      <c r="G32" s="188"/>
      <c r="H32" s="188"/>
      <c r="I32" s="188"/>
    </row>
    <row r="33" spans="1:9" ht="14.45" customHeight="1" x14ac:dyDescent="0.25">
      <c r="A33" s="188" t="s">
        <v>262</v>
      </c>
      <c r="B33" s="188"/>
      <c r="C33" s="188"/>
      <c r="D33" s="188"/>
      <c r="E33" s="188"/>
      <c r="F33" s="188"/>
      <c r="G33" s="188"/>
      <c r="H33" s="188"/>
      <c r="I33" s="188"/>
    </row>
    <row r="34" spans="1:9" ht="14.45" customHeight="1" x14ac:dyDescent="0.25">
      <c r="A34" s="188" t="s">
        <v>369</v>
      </c>
      <c r="B34" s="188"/>
      <c r="C34" s="188"/>
      <c r="D34" s="188"/>
      <c r="E34" s="188"/>
      <c r="F34" s="188"/>
      <c r="G34" s="188"/>
      <c r="H34" s="188"/>
      <c r="I34" s="188"/>
    </row>
    <row r="35" spans="1:9" ht="14.45" customHeight="1" x14ac:dyDescent="0.25">
      <c r="A35" s="189" t="s">
        <v>370</v>
      </c>
      <c r="B35" s="189"/>
      <c r="C35" s="189"/>
      <c r="D35" s="189"/>
      <c r="E35" s="189"/>
      <c r="F35" s="189"/>
      <c r="G35" s="189"/>
      <c r="H35" s="189"/>
      <c r="I35" s="189"/>
    </row>
    <row r="36" spans="1:9" ht="14.45" customHeight="1" x14ac:dyDescent="0.25">
      <c r="A36" s="188" t="s">
        <v>371</v>
      </c>
      <c r="B36" s="188"/>
      <c r="C36" s="188"/>
      <c r="D36" s="188"/>
      <c r="E36" s="188"/>
      <c r="F36" s="188"/>
      <c r="G36" s="188"/>
      <c r="H36" s="188"/>
      <c r="I36" s="188"/>
    </row>
    <row r="37" spans="1:9" ht="14.45" customHeight="1" x14ac:dyDescent="0.25">
      <c r="A37" s="188" t="s">
        <v>372</v>
      </c>
      <c r="B37" s="188"/>
      <c r="C37" s="188"/>
      <c r="D37" s="188"/>
      <c r="E37" s="188"/>
      <c r="F37" s="188"/>
      <c r="G37" s="188"/>
      <c r="H37" s="188"/>
      <c r="I37" s="188"/>
    </row>
    <row r="38" spans="1:9" ht="14.45" customHeight="1" x14ac:dyDescent="0.25">
      <c r="A38" s="188" t="s">
        <v>373</v>
      </c>
      <c r="B38" s="188"/>
      <c r="C38" s="188"/>
      <c r="D38" s="188"/>
      <c r="E38" s="188"/>
      <c r="F38" s="188"/>
      <c r="G38" s="188"/>
      <c r="H38" s="188"/>
      <c r="I38" s="188"/>
    </row>
    <row r="39" spans="1:9" ht="14.45" customHeight="1" x14ac:dyDescent="0.25">
      <c r="A39" s="188" t="s">
        <v>270</v>
      </c>
      <c r="B39" s="188"/>
      <c r="C39" s="188"/>
      <c r="D39" s="188"/>
      <c r="E39" s="188"/>
      <c r="F39" s="188"/>
      <c r="G39" s="188"/>
      <c r="H39" s="188"/>
      <c r="I39" s="188"/>
    </row>
    <row r="40" spans="1:9" ht="14.45" customHeight="1" x14ac:dyDescent="0.25">
      <c r="A40" s="188" t="s">
        <v>374</v>
      </c>
      <c r="B40" s="188"/>
      <c r="C40" s="188"/>
      <c r="D40" s="188"/>
      <c r="E40" s="188"/>
      <c r="F40" s="188"/>
      <c r="G40" s="188"/>
      <c r="H40" s="188"/>
      <c r="I40" s="188"/>
    </row>
    <row r="41" spans="1:9" ht="14.45" customHeight="1" x14ac:dyDescent="0.25">
      <c r="A41" s="188" t="s">
        <v>375</v>
      </c>
      <c r="B41" s="188"/>
      <c r="C41" s="188"/>
      <c r="D41" s="188"/>
      <c r="E41" s="188"/>
      <c r="F41" s="188"/>
      <c r="G41" s="188"/>
      <c r="H41" s="188"/>
      <c r="I41" s="188"/>
    </row>
    <row r="42" spans="1:9" ht="14.45" customHeight="1" x14ac:dyDescent="0.25">
      <c r="A42" s="188" t="s">
        <v>376</v>
      </c>
      <c r="B42" s="188"/>
      <c r="C42" s="188"/>
      <c r="D42" s="188"/>
      <c r="E42" s="188"/>
      <c r="F42" s="188"/>
      <c r="G42" s="188"/>
      <c r="H42" s="188"/>
      <c r="I42" s="188"/>
    </row>
    <row r="43" spans="1:9" ht="14.45" customHeight="1" x14ac:dyDescent="0.25">
      <c r="A43" s="188" t="s">
        <v>275</v>
      </c>
      <c r="B43" s="188"/>
      <c r="C43" s="188"/>
      <c r="D43" s="188"/>
      <c r="E43" s="188"/>
      <c r="F43" s="188"/>
      <c r="G43" s="188"/>
      <c r="H43" s="188"/>
      <c r="I43" s="188"/>
    </row>
    <row r="44" spans="1:9" ht="14.45" customHeight="1" x14ac:dyDescent="0.25">
      <c r="A44" s="188" t="s">
        <v>276</v>
      </c>
      <c r="B44" s="188"/>
      <c r="C44" s="188"/>
      <c r="D44" s="188"/>
      <c r="E44" s="188"/>
      <c r="F44" s="188"/>
      <c r="G44" s="188"/>
      <c r="H44" s="188"/>
      <c r="I44" s="188"/>
    </row>
    <row r="45" spans="1:9" ht="14.45" customHeight="1" x14ac:dyDescent="0.25">
      <c r="A45" s="188" t="s">
        <v>277</v>
      </c>
      <c r="B45" s="188"/>
      <c r="C45" s="188"/>
      <c r="D45" s="188"/>
      <c r="E45" s="188"/>
      <c r="F45" s="188"/>
      <c r="G45" s="188"/>
      <c r="H45" s="188"/>
      <c r="I45" s="188"/>
    </row>
    <row r="46" spans="1:9" ht="14.45" customHeight="1" x14ac:dyDescent="0.25">
      <c r="A46" s="188" t="s">
        <v>278</v>
      </c>
      <c r="B46" s="188"/>
      <c r="C46" s="188"/>
      <c r="D46" s="188"/>
      <c r="E46" s="188"/>
      <c r="F46" s="188"/>
      <c r="G46" s="188"/>
      <c r="H46" s="188"/>
      <c r="I46" s="188"/>
    </row>
    <row r="47" spans="1:9" ht="14.45" customHeight="1" x14ac:dyDescent="0.25">
      <c r="A47" s="188" t="s">
        <v>279</v>
      </c>
      <c r="B47" s="188"/>
      <c r="C47" s="188"/>
      <c r="D47" s="188"/>
      <c r="E47" s="188"/>
      <c r="F47" s="188"/>
      <c r="G47" s="188"/>
      <c r="H47" s="188"/>
      <c r="I47" s="188"/>
    </row>
    <row r="48" spans="1:9" ht="14.45" customHeight="1" x14ac:dyDescent="0.25">
      <c r="A48" s="188" t="s">
        <v>280</v>
      </c>
      <c r="B48" s="188"/>
      <c r="C48" s="188"/>
      <c r="D48" s="188"/>
      <c r="E48" s="188"/>
      <c r="F48" s="188"/>
      <c r="G48" s="188"/>
      <c r="H48" s="188"/>
      <c r="I48" s="188"/>
    </row>
    <row r="49" spans="1:9" ht="14.45" customHeight="1" x14ac:dyDescent="0.25">
      <c r="A49" s="188" t="s">
        <v>281</v>
      </c>
      <c r="B49" s="188"/>
      <c r="C49" s="188"/>
      <c r="D49" s="188"/>
      <c r="E49" s="188"/>
      <c r="F49" s="188"/>
      <c r="G49" s="188"/>
      <c r="H49" s="188"/>
      <c r="I49" s="188"/>
    </row>
    <row r="50" spans="1:9" ht="14.45" customHeight="1" x14ac:dyDescent="0.25">
      <c r="A50" s="188" t="s">
        <v>282</v>
      </c>
      <c r="B50" s="188"/>
      <c r="C50" s="188"/>
      <c r="D50" s="188"/>
      <c r="E50" s="188"/>
      <c r="F50" s="188"/>
      <c r="G50" s="188"/>
      <c r="H50" s="188"/>
      <c r="I50" s="188"/>
    </row>
    <row r="51" spans="1:9" ht="14.45" customHeight="1" x14ac:dyDescent="0.25">
      <c r="A51" s="188" t="s">
        <v>377</v>
      </c>
      <c r="B51" s="188"/>
      <c r="C51" s="188"/>
      <c r="D51" s="188"/>
      <c r="E51" s="188"/>
      <c r="F51" s="188"/>
      <c r="G51" s="188"/>
      <c r="H51" s="170"/>
      <c r="I51" s="170"/>
    </row>
    <row r="52" spans="1:9" ht="14.45" customHeight="1" x14ac:dyDescent="0.25">
      <c r="A52" s="188" t="s">
        <v>253</v>
      </c>
      <c r="B52" s="188"/>
      <c r="C52" s="188"/>
      <c r="D52" s="188"/>
      <c r="E52" s="188"/>
      <c r="F52" s="188"/>
      <c r="G52" s="188"/>
      <c r="H52" s="188"/>
      <c r="I52" s="188"/>
    </row>
    <row r="53" spans="1:9" ht="28.5" customHeight="1" x14ac:dyDescent="0.25">
      <c r="A53" s="186" t="s">
        <v>295</v>
      </c>
      <c r="B53" s="186"/>
      <c r="C53" s="186"/>
      <c r="D53" s="186"/>
      <c r="E53" s="186"/>
      <c r="F53" s="186"/>
      <c r="G53" s="186"/>
      <c r="H53" s="186"/>
      <c r="I53" s="186"/>
    </row>
    <row r="54" spans="1:9" x14ac:dyDescent="0.25">
      <c r="A54" s="187"/>
      <c r="B54" s="187"/>
      <c r="C54" s="187"/>
      <c r="D54" s="187"/>
      <c r="E54" s="187"/>
      <c r="F54" s="187"/>
      <c r="G54" s="187"/>
      <c r="H54" s="187"/>
      <c r="I54" s="187"/>
    </row>
  </sheetData>
  <mergeCells count="44">
    <mergeCell ref="A22:I22"/>
    <mergeCell ref="A10:I10"/>
    <mergeCell ref="A11:I11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34:I34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46:I46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53:I53"/>
    <mergeCell ref="A54:I54"/>
    <mergeCell ref="A47:I47"/>
    <mergeCell ref="A48:I48"/>
    <mergeCell ref="A49:I49"/>
    <mergeCell ref="A50:I50"/>
    <mergeCell ref="A51:G51"/>
    <mergeCell ref="A52:I52"/>
  </mergeCells>
  <hyperlinks>
    <hyperlink ref="A17" location="'Table 6.4'!A2" display="Table 6.4  Total vehicle kilometres travelled by state/territory" xr:uid="{A69DE4E0-46BB-4050-979F-66A1E5FEE52C}"/>
    <hyperlink ref="A18" location="'Table 6.5'!A2" display="Table 6.5  Total vehicle kilometres travelled by capital city" xr:uid="{0D382EAC-A31E-47C8-BBB7-222EA1947BF2}"/>
    <hyperlink ref="A19" location="'Table 6.6'!A2" display="Table 6.6  Total road freight, by vehicle type" xr:uid="{37677768-1133-4355-8833-2BAE3345A5A8}"/>
    <hyperlink ref="A20" location="'Table 6.9a-c'!A2" display="Table 6.9a  Stock of registered motor vehicles, by vehicle type" xr:uid="{C86C605E-8F41-4007-B07A-2C08E76C42D8}"/>
    <hyperlink ref="A23" location="'Table 6.10'!A2" display="Table 6.10a New motor vehicles sales, excluding motor cycles, by vehicle type" xr:uid="{9639F76C-70A1-4D4F-82EA-A5895B477622}"/>
    <hyperlink ref="A34" location="'Table 6.13'!A2" display="Table 6.13a  Licence vehicle operators, by vehicle type—New South Wales " xr:uid="{CB69C33D-6E74-493D-9EF7-E836FA990007}"/>
    <hyperlink ref="A43" location="'Table 6.14'!A2" display="Table 6.14a  Licence holders, by gender and vehicle class — New South Wales" xr:uid="{599B5003-E7C9-4F94-B8DF-387B0C39F5D6}"/>
    <hyperlink ref="A52" location="'Table 6.15'!A2" display="Table 6.15  Selected road and bridge construction and maintenance price and cost indexes, for Australia and for states and territories" xr:uid="{9721FE6D-7829-472E-9D8C-9CFA5FCCAA09}"/>
    <hyperlink ref="A53" location="'Table 6.16'!A2" display="Table 6.16  Arterial road and bridge maintenance expenditure, constant 2022-23 prices, adjusted by BITRE Road Construction and Maintenance Price Index—Road maintenance sub-index" xr:uid="{F16E559C-3011-4602-85C4-B7377BE1D48A}"/>
    <hyperlink ref="A15" location="'Table 6.2e-f'!A2" display="Table 6.2e  Total locally controlled road length by state/territory" xr:uid="{98EE2372-440B-4AF7-999A-F9495D22D4E9}"/>
    <hyperlink ref="A11:A14" location="'Table 6.2a-d'!A2" display="Table 6.2a Australian road length, by type of road" xr:uid="{566E18D5-366C-4F62-9DEA-689157097123}"/>
    <hyperlink ref="A11" location="'Table 6.2a-d'!A57" display="Table 6.2a Australian road length, by type of road" xr:uid="{F6A25457-F50B-4566-BEC6-63B8C1AFB4D5}"/>
    <hyperlink ref="A13" location="'Table 6.2a-d'!A159" display="Table 6.2a Australian road length, by type of road" xr:uid="{4143ED05-A770-4D72-BC74-8A51839B47B7}"/>
    <hyperlink ref="A14" location="'Table 6.2a-d'!A214" display="Table 6.2a Australian road length, by type of road" xr:uid="{331704C9-A541-416C-BA49-66A85AAF98C5}"/>
    <hyperlink ref="A21" location="'Table 6.9a-c'!A65" display="Table 6.9a  Stock of registered motor vehicles, by vehicle type" xr:uid="{5CE5FBF2-9B45-45E9-B2B1-20068D1C9C90}"/>
    <hyperlink ref="A22" location="'Table 6.9a-c'!A118" display="Table 6.9a  Stock of registered motor vehicles, by vehicle type" xr:uid="{4F53D55E-5E63-416B-815E-D3B83AF429C6}"/>
    <hyperlink ref="A26:A33" location="'Table 6.12'!A2" display="Table 6.12a  Licence holders, by age and gender—New South Wales" xr:uid="{30965DCF-68FE-4140-A91B-DB4DFE552395}"/>
    <hyperlink ref="A26" location="'Table 6.12'!A53" display="Table 6.12a  Licence holders, by age and gender—New South Wales" xr:uid="{ACE40630-AB4A-4C19-87A7-DFB7BA94E1C5}"/>
    <hyperlink ref="A27" location="'Table 6.12'!A106" display="Table 6.12a  Licence holders, by age and gender—New South Wales" xr:uid="{7CE8D253-635D-4FC0-B019-514F2A9F380F}"/>
    <hyperlink ref="A28" location="'Table 6.12'!A156" display="Table 6.12a  Licence holders, by age and gender—New South Wales" xr:uid="{29AD0903-17BA-4B03-A40B-E7752D71047D}"/>
    <hyperlink ref="A29" location="'Table 6.12'!A210" display="Table 6.12a  Licence holders, by age and gender—New South Wales" xr:uid="{57456667-03AD-41A6-9F32-8C1FBEFDABED}"/>
    <hyperlink ref="A30" location="'Table 6.12'!A265" display="Table 6.12a  Licence holders, by age and gender—New South Wales" xr:uid="{ACB6B4B2-362E-45DA-AC20-AF3FD8A77E45}"/>
    <hyperlink ref="A31" location="'Table 6.12'!A314" display="Table 6.12a  Licence holders, by age and gender—New South Wales" xr:uid="{76FD0EE9-3D53-4B9E-9877-4B319A55443F}"/>
    <hyperlink ref="A32" location="'Table 6.12'!A363" display="Table 6.12a  Licence holders, by age and gender—New South Wales" xr:uid="{20A8293D-EB22-4E83-879F-592226EC3B7A}"/>
    <hyperlink ref="A33" location="'Table 6.12'!A413" display="Table 6.12a  Licence holders, by age and gender—New South Wales" xr:uid="{6FAEB74F-53D4-4E29-910F-25EC9CEE867D}"/>
    <hyperlink ref="A35:A42" location="'Table 6.13'!A2" display="Table 6.13a  Licence vehicle operators, by vehicle type—New South Wales " xr:uid="{045CAE20-EBB6-4497-9FF4-D67AC68C28BA}"/>
    <hyperlink ref="A35" location="'Table 6.13'!A57" display="Table 6.13a  Licence vehicle operators, by vehicle type—New South Wales " xr:uid="{B395809E-9EBF-4CCF-91A2-2F680701B285}"/>
    <hyperlink ref="A36" location="'Table 6.13'!A111" display="Table 6.13a  Licence vehicle operators, by vehicle type—New South Wales " xr:uid="{1539BD8B-EA18-4E7C-8868-56C41D530495}"/>
    <hyperlink ref="A37" location="'Table 6.13'!A162" display="Table 6.13a  Licence vehicle operators, by vehicle type—New South Wales " xr:uid="{B7E1C6A8-2B62-41B8-87ED-90F50CB4795F}"/>
    <hyperlink ref="A38" location="'Table 6.13'!A215" display="Table 6.13a  Licence vehicle operators, by vehicle type—New South Wales " xr:uid="{BB3E76DD-750B-41A8-8F65-EB528C682F7E}"/>
    <hyperlink ref="A39" location="'Table 6.13'!A259" display="Table 6.13a  Licence vehicle operators, by vehicle type—New South Wales " xr:uid="{0ED6FAEC-2885-4AC4-9FC4-55642B547E0A}"/>
    <hyperlink ref="A40" location="'Table 6.13'!A311" display="Table 6.13a  Licence vehicle operators, by vehicle type—New South Wales " xr:uid="{CEC4332B-76CC-47D0-A237-56CEEA59D61F}"/>
    <hyperlink ref="A41" location="'Table 6.13'!A363" display="Table 6.13a  Licence vehicle operators, by vehicle type—New South Wales " xr:uid="{4EBBA000-423A-449B-95D6-581969EE37C9}"/>
    <hyperlink ref="A42" location="'Table 6.13'!A414" display="Table 6.13a  Licence vehicle operators, by vehicle type—New South Wales " xr:uid="{BC4076BF-6AF1-42A1-A5A0-743120E56CC0}"/>
    <hyperlink ref="A44:A50" location="'Table 6.14'!A2" display="Table 6.14a  Licence holders, by gender and vehicle class — New South Wales" xr:uid="{48E1525C-8644-4A54-877C-E36812DAC269}"/>
    <hyperlink ref="A44" location="'Table 6.14'!A19" display="Table 6.14a  Licence holders, by gender and vehicle class — New South Wales" xr:uid="{3E95DAF6-A971-476C-81BE-2FC1340E8E76}"/>
    <hyperlink ref="A45" location="'Table 6.14'!A42" display="Table 6.14a  Licence holders, by gender and vehicle class — New South Wales" xr:uid="{08EB0B5C-23AD-4C98-BF29-15356BC86566}"/>
    <hyperlink ref="A46" location="'Table 6.14'!A65" display="Table 6.14a  Licence holders, by gender and vehicle class — New South Wales" xr:uid="{1A15BE28-FA76-4ACC-8EDA-46F18ACABCF5}"/>
    <hyperlink ref="A47" location="'Table 6.14'!A89" display="Table 6.14a  Licence holders, by gender and vehicle class — New South Wales" xr:uid="{911C16B6-7BCE-4746-AAEF-81DF6B5B5B86}"/>
    <hyperlink ref="A48" location="'Table 6.14'!A112" display="Table 6.14a  Licence holders, by gender and vehicle class — New South Wales" xr:uid="{87CC2159-16EC-4B71-A4F4-8368A3DEE488}"/>
    <hyperlink ref="A49" location="'Table 6.14'!A133" display="Table 6.14a  Licence holders, by gender and vehicle class — New South Wales" xr:uid="{FC367358-7893-4A0F-8FA9-5AB14872660A}"/>
    <hyperlink ref="A50" location="'Table 6.14'!A157" display="Table 6.14a  Licence holders, by gender and vehicle class — New South Wales" xr:uid="{F4791ACE-D364-47F0-8EBB-A099F66BC56F}"/>
    <hyperlink ref="A11:I11" location="'Table 4.1a-f'!A59" display="Table 4.1b  Road length by type of road, by state and territory " xr:uid="{4CFD149A-645C-41B5-A7E6-AA6B881CCD9A}"/>
    <hyperlink ref="A12" location="'Table 4.1a-f'!A178" display="Table 4.1c  Unsealed road length by type of road, by state and territory " xr:uid="{229B5727-8D4E-4F19-91F9-85800EEE19B2}"/>
    <hyperlink ref="A13:I13" location="'Table 4.1a-f'!A186" display="Table 4.1d  Lane kilometres, by type of road, Australia " xr:uid="{C5DDB0AD-5963-47CB-8C0E-0CAB7AF883D6}"/>
    <hyperlink ref="A14:I14" location="'Table 4.1a-f'!A243" display="Table 4.1e  Lane kilometres, by type of road, by state and territory" xr:uid="{BCA52928-67B3-497F-A63C-B9F8FE4A57C9}"/>
    <hyperlink ref="A15:I15" location="'Table 4.1a-f'!A362" display="Table 4.1f  Total locally controlled road length by state/territory" xr:uid="{120AFA04-62ED-4A02-94F7-C106A2F4A94F}"/>
    <hyperlink ref="A22:I22" location="'Table 4.6a-c'!A124" display="Table 4.6c  Battery electric passenger vehicles on register by make, top 10 makes" xr:uid="{B0A77A41-5707-4BA1-9431-FE296CB1E963}"/>
    <hyperlink ref="A23:I23" location="'Table 4.7'!A2" display="Table 4.7  New motor vehicles sales, excluding motor cycles, by vehicle type" xr:uid="{217E615E-9DFC-4FEB-BDD0-B4FBABE3A77B}"/>
    <hyperlink ref="A26:I26" location="'Table 4.9a-i'!A61" display="Table 4.9b  Licence holders, by age and gender—Victoria" xr:uid="{A9330935-7291-44BA-A832-797C3CAB91C9}"/>
    <hyperlink ref="A27:I27" location="'Table 4.9a-i'!A119" display="Table 4.9c  Licence holders, by age and gender—Queensland" xr:uid="{AB61F360-1D7A-48CA-8C0E-5029993D5ED7}"/>
    <hyperlink ref="A28:I28" location="'Table 4.9a-i'!A177" display="Table 4.9d  Licence holders, by age and gender—South Australia" xr:uid="{906E46BA-86B2-4C21-8B83-63CC1E67D052}"/>
    <hyperlink ref="A29:I29" location="'Table 4.9a-i'!A236" display="Table 4.9e  Licence holders, by age and gender—Western Australia" xr:uid="{DB3EDE86-6942-484E-A4E9-B397BEB799CE}"/>
    <hyperlink ref="A30:I30" location="'Table 4.9a-i'!A294" display="Table 4.9f  Licence holders , by age and gender—Tasmania" xr:uid="{216B1E24-FBD5-4A78-9805-EBC31686840A}"/>
    <hyperlink ref="A31:I31" location="'Table 4.9a-i'!A352" display="Table 4.9g  Licence holders, by age and gender—Northern Territory" xr:uid="{5F619CB6-6D25-4C85-B0FE-F4026B2006EF}"/>
    <hyperlink ref="A32:I32" location="'Table 4.9a-i'!A410" display="Table 4.9h  Licence holders, by age and gender—Australian Capital Territory" xr:uid="{C85E646C-B87B-467D-B42A-8EE98A1BFFC4}"/>
    <hyperlink ref="A33:I33" location="'Table 4.9a-i'!A468" display="Table 4.9i  Licence holders, by age and gender—Australia" xr:uid="{7030986C-72E4-41AE-8AEA-8DC2C1D4C908}"/>
    <hyperlink ref="A34:I34" location="'Table 4.10a-i '!A2" display="Table 4.10a  Licences, by vehicle type—New South Wales " xr:uid="{1AA8C10B-D67E-459C-9EFD-6BF15FC486D4}"/>
    <hyperlink ref="A35:I35" location="'Table 4.10a-i '!A63" display="Table 4.10b  Licences, by vehicle type—Victoria " xr:uid="{6FAAA6B9-60B4-4984-8CAA-F24D0F0E3C86}"/>
    <hyperlink ref="A36:I36" location="'Table 4.10a-i '!A121" display="Table 4.10c  Licences, by vehicle type—Queensland " xr:uid="{58A9F824-3554-4919-B3CE-65DA02F41FAD}"/>
    <hyperlink ref="A37:I37" location="'Table 4.10a-i '!A178" display="Table 4.10d  Licences, by vehicle type—South Australia " xr:uid="{790E2E56-817C-4F1B-8CEE-CA57FA7436AB}"/>
    <hyperlink ref="A38:I38" location="'Table 4.10a-i '!A235" display="Table 4.10e  Licences, by vehicle type—Western Australia " xr:uid="{F5056861-3FD0-4C64-B8DD-56817CD59D28}"/>
    <hyperlink ref="A39:I39" location="'Table 4.10a-i '!A284" display="Table 4.10f  Licences, by vehicle type—Tasmania " xr:uid="{8DC6480F-1552-45F9-B2D7-59F4714F54B1}"/>
    <hyperlink ref="A40:I40" location="'Table 4.10a-i '!A343" display="Table 4.10g  Licences, by vehicle type—Northern Territory" xr:uid="{7AE52F65-9FB4-4D69-8F5F-474FE50259EC}"/>
    <hyperlink ref="A41:I41" location="'Table 4.10a-i '!A402" display="Table 4.10h  Licences, by vehicle type—Australian Capital Territory " xr:uid="{3BBA07B6-AE77-4443-81EC-51670C9198EF}"/>
    <hyperlink ref="A42:I42" location="'Table 4.10a-i '!A461" display="Table 4.10i  Licences, by vehicle type—Australia " xr:uid="{7CFEC560-3D89-4BBB-8400-7530506057E2}"/>
    <hyperlink ref="A43:I43" location="'Table 4.11a-i'!A2" display="Table 4.11a  Licences, by gender and vehicle class — New South Wales" xr:uid="{607E31DE-2858-4739-A1BC-25A8B3388B1B}"/>
    <hyperlink ref="A44:I44" location="'Table 4.11a-i'!A24" display="Table 4.11b  Licences, by gender and vehicle class — Victoria" xr:uid="{78E76B8C-30F8-4B8F-92EA-1B61C4B8F5CD}"/>
    <hyperlink ref="A45:I45" location="'Table 4.11a-i'!A52" display="Table 4.11c  Licences, by gender and vehicle class — Queensland" xr:uid="{86218EF0-71B0-4EFF-8205-B749240C1F67}"/>
    <hyperlink ref="A46:I46" location="'Table 4.11a-i'!A79" display="Table 4.11d  Licences, by gender and vehicle class — South Australia" xr:uid="{A5FB171B-8AA1-40A4-95AA-2F47ABA27764}"/>
    <hyperlink ref="A47:I47" location="'Table 4.11a-i'!A108" display="Table 4.11e  Licences, by gender and vehicle class — Western Australia" xr:uid="{5F5C580E-59C7-4732-B8EF-2B794DD9A36B}"/>
    <hyperlink ref="A48:I48" location="'Table 4.11a-i'!A137" display="Table 4.11f  Licences, by gender and vehicle class — Tasmania" xr:uid="{86091FB6-0259-4500-B31C-18103634BFD9}"/>
    <hyperlink ref="A49:I49" location="'Table 4.11a-i'!A165" display="Table 4.11g  Licences, by gender and vehicle class — Northern Territory" xr:uid="{956206DD-2747-478F-A790-EB62408A9AFC}"/>
    <hyperlink ref="A50:I50" location="'Table 4.11a-i'!A197" display="Table 4.11h  Licences, by gender and vehicle class — Australian Capital Territory" xr:uid="{3EE7ED9C-75EB-4CBE-BF77-0DEE88355CB3}"/>
    <hyperlink ref="A51:G51" location="'Table 4.11a-i'!A226" display="Table 4.11i  Licences, by gender and vehicle class — Australia" xr:uid="{92D180B0-4C43-4204-8FD5-FCDDE693B607}"/>
    <hyperlink ref="A52:I52" location="'Table 4.12'!A2" display="Table 4.12  Selected road and bridge construction and maintenance price and cost indexes, for Australia and for states and territories" xr:uid="{95EA048B-C836-4077-8169-E229B0769B53}"/>
    <hyperlink ref="A53:I53" location="'Table 4.13'!A2" display="Table 4.13  Arterial road and bridge maintenance expenditure, constant 2024-25 prices, adjusted by BITRE Road Construction and Maintenance Price Index—Road maintenance sub-index" xr:uid="{139FD8E4-B29B-4D92-AFEA-7C4CF9FCE928}"/>
    <hyperlink ref="A10:I10" location="'Table 4.1a-f'!A2" display="Table 4.1a  Australian road length, by type of road" xr:uid="{241D50F3-B0FD-4812-8DC5-96D66E432FDE}"/>
    <hyperlink ref="A16:XFD16" location="'Table 4.2'!A2" display="Table 4.2  Total vehicle kilometres travelled, by vehicle type" xr:uid="{D7212331-222E-4F47-A6C4-B2851F7B3C7C}"/>
    <hyperlink ref="A17:I17" location="'Table 4.3'!A2" display="Table 4.3  Total vehicle kilometres travelled by state/territory" xr:uid="{131EC3A0-67EB-43E4-AA3C-8FB6E838CDE2}"/>
    <hyperlink ref="A18:I18" location="'Table 4.4'!A2" display="Table 4.4  Total vehicle kilometres travelled by capital city" xr:uid="{6C7C12DC-9A85-4DBF-9ECD-F80D1FFDC84D}"/>
    <hyperlink ref="A19:I19" location="'Table 4.5'!A2" display="Table 4.5  Total road freight, by vehicle type" xr:uid="{EC045A2A-8216-4925-84DA-4C97F0D1EF33}"/>
    <hyperlink ref="A20:I20" location="'Table 4.6a-c'!A2" display="Table 4.6a  Stock of registered motor vehicles, by vehicle type" xr:uid="{E9F2C577-9F12-452B-BB0F-02A8261B4C49}"/>
    <hyperlink ref="A21:I21" location="'Table 4.6a-c'!A68" display="Table 4.6b  Stock of registered motor vehicles, by state/territory" xr:uid="{00E8901B-147F-4000-8422-E295B6FC85B0}"/>
    <hyperlink ref="A24" location="'Table 6.10'!A2" display="Table 6.10a New motor vehicles sales, excluding motor cycles, by vehicle type" xr:uid="{83998CFA-5520-4ED7-B4C7-BE8C503F4146}"/>
    <hyperlink ref="A24:I24" location="'Table 4.8'!A2" display="Table 4.8  New motor vehicles sales excluding motor cycles, by state/territory" xr:uid="{6085973D-5B19-4402-A55C-7A5FB9EC19D8}"/>
    <hyperlink ref="A25:XFD25" location="'Table 4.9a-i'!A2" display="Table 4.9a  Licence holders, by age and gender—New South Wales" xr:uid="{0F601DB9-1A43-4ABD-8197-618CA8B2A6ED}"/>
  </hyperlinks>
  <pageMargins left="0.7" right="0.7" top="0.75" bottom="0.75" header="0.3" footer="0.3"/>
  <pageSetup orientation="portrait" r:id="rId1"/>
  <headerFooter>
    <oddHeader>&amp;C&amp;"Aptos"&amp;14&amp;KFF0000 OFFICIAL&amp;1#_x000D_</oddHeader>
    <oddFooter>&amp;C_x000D_&amp;1#&amp;"Aptos"&amp;14&amp;KFF0000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407"/>
  <sheetViews>
    <sheetView workbookViewId="0">
      <selection activeCell="F12" sqref="F12"/>
    </sheetView>
  </sheetViews>
  <sheetFormatPr defaultColWidth="8.7109375" defaultRowHeight="12.75" x14ac:dyDescent="0.2"/>
  <cols>
    <col min="1" max="1" width="15.5703125" style="58" bestFit="1" customWidth="1"/>
    <col min="2" max="2" width="14.28515625" style="58" bestFit="1" customWidth="1"/>
    <col min="3" max="3" width="17.85546875" style="58" customWidth="1"/>
    <col min="4" max="4" width="20.28515625" style="58" customWidth="1"/>
    <col min="5" max="5" width="13.28515625" style="58" bestFit="1" customWidth="1"/>
    <col min="6" max="6" width="11.42578125" style="58" bestFit="1" customWidth="1"/>
    <col min="7" max="8" width="8.85546875" style="58" bestFit="1" customWidth="1"/>
    <col min="9" max="9" width="8.85546875" style="58" customWidth="1"/>
    <col min="10" max="10" width="8.85546875" style="58" bestFit="1" customWidth="1"/>
    <col min="11" max="16384" width="8.7109375" style="58"/>
  </cols>
  <sheetData>
    <row r="2" spans="1:6" x14ac:dyDescent="0.2">
      <c r="A2" s="71" t="s">
        <v>248</v>
      </c>
      <c r="B2" s="71"/>
      <c r="C2" s="71"/>
      <c r="D2" s="71"/>
      <c r="E2" s="71"/>
      <c r="F2" s="71"/>
    </row>
    <row r="3" spans="1:6" ht="30" customHeight="1" x14ac:dyDescent="0.2">
      <c r="A3" s="72"/>
      <c r="B3" s="73" t="s">
        <v>35</v>
      </c>
      <c r="C3" s="73" t="s">
        <v>294</v>
      </c>
      <c r="D3" s="73" t="s">
        <v>293</v>
      </c>
      <c r="E3" s="73" t="s">
        <v>206</v>
      </c>
    </row>
    <row r="4" spans="1:6" x14ac:dyDescent="0.2">
      <c r="A4" s="62" t="s">
        <v>193</v>
      </c>
      <c r="B4" s="191" t="s">
        <v>36</v>
      </c>
      <c r="C4" s="191"/>
      <c r="D4" s="191"/>
      <c r="E4" s="191"/>
    </row>
    <row r="5" spans="1:6" x14ac:dyDescent="0.2">
      <c r="A5" s="71">
        <v>1975</v>
      </c>
      <c r="B5" s="60"/>
      <c r="C5" s="60"/>
      <c r="D5" s="60">
        <v>444.1</v>
      </c>
      <c r="E5" s="60">
        <v>228656.80766633365</v>
      </c>
    </row>
    <row r="6" spans="1:6" x14ac:dyDescent="0.2">
      <c r="A6" s="71">
        <v>1976</v>
      </c>
      <c r="B6" s="60"/>
      <c r="C6" s="60"/>
      <c r="D6" s="60">
        <v>522.1</v>
      </c>
      <c r="E6" s="60">
        <v>233847.21274473966</v>
      </c>
    </row>
    <row r="7" spans="1:6" x14ac:dyDescent="0.2">
      <c r="A7" s="71">
        <v>1977</v>
      </c>
      <c r="B7" s="60"/>
      <c r="C7" s="60"/>
      <c r="D7" s="60">
        <v>557.59999999999991</v>
      </c>
      <c r="E7" s="60">
        <v>239046.36624232843</v>
      </c>
    </row>
    <row r="8" spans="1:6" x14ac:dyDescent="0.2">
      <c r="A8" s="71">
        <v>1978</v>
      </c>
      <c r="B8" s="60"/>
      <c r="C8" s="60"/>
      <c r="D8" s="60">
        <v>594.59999999999991</v>
      </c>
      <c r="E8" s="60">
        <v>243285.09063638232</v>
      </c>
    </row>
    <row r="9" spans="1:6" x14ac:dyDescent="0.2">
      <c r="A9" s="71">
        <v>1979</v>
      </c>
      <c r="B9" s="60"/>
      <c r="C9" s="60"/>
      <c r="D9" s="60">
        <v>655.55</v>
      </c>
      <c r="E9" s="60">
        <v>247563.52482237344</v>
      </c>
    </row>
    <row r="10" spans="1:6" x14ac:dyDescent="0.2">
      <c r="A10" s="71">
        <v>1980</v>
      </c>
      <c r="B10" s="60"/>
      <c r="C10" s="60"/>
      <c r="D10" s="60">
        <v>710.55</v>
      </c>
      <c r="E10" s="60">
        <v>253306.5604853362</v>
      </c>
    </row>
    <row r="11" spans="1:6" x14ac:dyDescent="0.2">
      <c r="A11" s="71">
        <v>1981</v>
      </c>
      <c r="B11" s="60"/>
      <c r="C11" s="60"/>
      <c r="D11" s="60">
        <v>719.55</v>
      </c>
      <c r="E11" s="60">
        <v>260828.41442489708</v>
      </c>
    </row>
    <row r="12" spans="1:6" x14ac:dyDescent="0.2">
      <c r="A12" s="71">
        <v>1982</v>
      </c>
      <c r="B12" s="60"/>
      <c r="C12" s="60"/>
      <c r="D12" s="60">
        <v>760.55</v>
      </c>
      <c r="E12" s="60">
        <v>265747.51199481671</v>
      </c>
    </row>
    <row r="13" spans="1:6" x14ac:dyDescent="0.2">
      <c r="A13" s="71">
        <v>1983</v>
      </c>
      <c r="B13" s="60"/>
      <c r="C13" s="60"/>
      <c r="D13" s="60">
        <v>798.55</v>
      </c>
      <c r="E13" s="60">
        <v>269813.01717454591</v>
      </c>
    </row>
    <row r="14" spans="1:6" x14ac:dyDescent="0.2">
      <c r="A14" s="71">
        <v>1984</v>
      </c>
      <c r="B14" s="60"/>
      <c r="C14" s="60"/>
      <c r="D14" s="60">
        <v>836.05</v>
      </c>
      <c r="E14" s="60">
        <v>274192.3079272894</v>
      </c>
    </row>
    <row r="15" spans="1:6" x14ac:dyDescent="0.2">
      <c r="A15" s="71">
        <v>1985</v>
      </c>
      <c r="B15" s="60"/>
      <c r="C15" s="60"/>
      <c r="D15" s="60">
        <v>892.05</v>
      </c>
      <c r="E15" s="60">
        <v>278681.25603316288</v>
      </c>
    </row>
    <row r="16" spans="1:6" x14ac:dyDescent="0.2">
      <c r="A16" s="71">
        <v>1986</v>
      </c>
      <c r="B16" s="60"/>
      <c r="C16" s="60"/>
      <c r="D16" s="60">
        <v>917.55000000000007</v>
      </c>
      <c r="E16" s="60">
        <v>283480.29727062304</v>
      </c>
    </row>
    <row r="17" spans="1:5" x14ac:dyDescent="0.2">
      <c r="A17" s="71">
        <v>1987</v>
      </c>
      <c r="B17" s="60"/>
      <c r="C17" s="60"/>
      <c r="D17" s="60">
        <v>1015.5500000000001</v>
      </c>
      <c r="E17" s="60">
        <v>287547.78542890592</v>
      </c>
    </row>
    <row r="18" spans="1:5" x14ac:dyDescent="0.2">
      <c r="A18" s="71">
        <v>1988</v>
      </c>
      <c r="B18" s="60"/>
      <c r="C18" s="60"/>
      <c r="D18" s="60">
        <v>1081.5500000000002</v>
      </c>
      <c r="E18" s="60">
        <v>291541.94959383324</v>
      </c>
    </row>
    <row r="19" spans="1:5" x14ac:dyDescent="0.2">
      <c r="A19" s="71">
        <v>1989</v>
      </c>
      <c r="B19" s="60"/>
      <c r="C19" s="60"/>
      <c r="D19" s="60">
        <v>1214.75</v>
      </c>
      <c r="E19" s="60">
        <v>294726.48732189141</v>
      </c>
    </row>
    <row r="20" spans="1:5" x14ac:dyDescent="0.2">
      <c r="A20" s="71">
        <v>1990</v>
      </c>
      <c r="B20" s="60"/>
      <c r="C20" s="60"/>
      <c r="D20" s="60">
        <v>1293.25</v>
      </c>
      <c r="E20" s="60">
        <v>298819.97653024457</v>
      </c>
    </row>
    <row r="21" spans="1:5" x14ac:dyDescent="0.2">
      <c r="A21" s="71">
        <v>1991</v>
      </c>
      <c r="B21" s="60"/>
      <c r="C21" s="60"/>
      <c r="D21" s="60">
        <v>1306.25</v>
      </c>
      <c r="E21" s="60">
        <v>302225.03640696575</v>
      </c>
    </row>
    <row r="22" spans="1:5" x14ac:dyDescent="0.2">
      <c r="A22" s="71">
        <v>1992</v>
      </c>
      <c r="B22" s="60"/>
      <c r="C22" s="60"/>
      <c r="D22" s="60">
        <v>1392.95</v>
      </c>
      <c r="E22" s="60">
        <v>305633.91497755126</v>
      </c>
    </row>
    <row r="23" spans="1:5" x14ac:dyDescent="0.2">
      <c r="A23" s="71">
        <v>1993</v>
      </c>
      <c r="B23" s="60"/>
      <c r="C23" s="60"/>
      <c r="D23" s="60">
        <v>1483.8500000000001</v>
      </c>
      <c r="E23" s="60">
        <v>309869.92796837335</v>
      </c>
    </row>
    <row r="24" spans="1:5" x14ac:dyDescent="0.2">
      <c r="A24" s="71">
        <v>1994</v>
      </c>
      <c r="B24" s="60"/>
      <c r="C24" s="60"/>
      <c r="D24" s="60">
        <v>1584.5500000000002</v>
      </c>
      <c r="E24" s="60">
        <v>314349.80543932924</v>
      </c>
    </row>
    <row r="25" spans="1:5" x14ac:dyDescent="0.2">
      <c r="A25" s="71">
        <v>1995</v>
      </c>
      <c r="B25" s="60"/>
      <c r="C25" s="60"/>
      <c r="D25" s="60">
        <v>1763.49</v>
      </c>
      <c r="E25" s="60">
        <v>318835.94284874969</v>
      </c>
    </row>
    <row r="26" spans="1:5" x14ac:dyDescent="0.2">
      <c r="A26" s="71">
        <v>1996</v>
      </c>
      <c r="B26" s="60"/>
      <c r="C26" s="60"/>
      <c r="D26" s="60">
        <v>1821.59</v>
      </c>
      <c r="E26" s="60">
        <v>322197.17817653611</v>
      </c>
    </row>
    <row r="27" spans="1:5" x14ac:dyDescent="0.2">
      <c r="A27" s="71">
        <v>1997</v>
      </c>
      <c r="B27" s="60"/>
      <c r="C27" s="60"/>
      <c r="D27" s="60">
        <v>1864.89</v>
      </c>
      <c r="E27" s="60">
        <v>326919.11483387812</v>
      </c>
    </row>
    <row r="28" spans="1:5" x14ac:dyDescent="0.2">
      <c r="A28" s="71">
        <v>1998</v>
      </c>
      <c r="B28" s="60"/>
      <c r="C28" s="60"/>
      <c r="D28" s="60">
        <v>1910.89</v>
      </c>
      <c r="E28" s="60">
        <v>329756.09572964051</v>
      </c>
    </row>
    <row r="29" spans="1:5" x14ac:dyDescent="0.2">
      <c r="A29" s="71">
        <v>1999</v>
      </c>
      <c r="B29" s="60"/>
      <c r="C29" s="60"/>
      <c r="D29" s="60">
        <v>1961.99</v>
      </c>
      <c r="E29" s="60">
        <v>333516.20709786698</v>
      </c>
    </row>
    <row r="30" spans="1:5" x14ac:dyDescent="0.2">
      <c r="A30" s="71">
        <v>2000</v>
      </c>
      <c r="B30" s="60"/>
      <c r="C30" s="60"/>
      <c r="D30" s="60">
        <v>2013.29</v>
      </c>
      <c r="E30" s="60">
        <v>335242.63405026065</v>
      </c>
    </row>
    <row r="31" spans="1:5" x14ac:dyDescent="0.2">
      <c r="A31" s="71">
        <v>2001</v>
      </c>
      <c r="B31" s="60"/>
      <c r="C31" s="60"/>
      <c r="D31" s="60">
        <v>2084.94</v>
      </c>
      <c r="E31" s="60">
        <v>339857.76105710154</v>
      </c>
    </row>
    <row r="32" spans="1:5" x14ac:dyDescent="0.2">
      <c r="A32" s="71">
        <v>2002</v>
      </c>
      <c r="B32" s="60"/>
      <c r="C32" s="60"/>
      <c r="D32" s="60">
        <v>2130.7399999999998</v>
      </c>
      <c r="E32" s="60">
        <v>342114.57340119017</v>
      </c>
    </row>
    <row r="33" spans="1:9" x14ac:dyDescent="0.2">
      <c r="A33" s="71">
        <v>2003</v>
      </c>
      <c r="B33" s="60"/>
      <c r="C33" s="60"/>
      <c r="D33" s="60">
        <v>2208.34</v>
      </c>
      <c r="E33" s="60">
        <v>343975.765943409</v>
      </c>
    </row>
    <row r="34" spans="1:9" x14ac:dyDescent="0.2">
      <c r="A34" s="71">
        <v>2004</v>
      </c>
      <c r="B34" s="60"/>
      <c r="C34" s="60"/>
      <c r="D34" s="60">
        <v>2225.34</v>
      </c>
      <c r="E34" s="60">
        <v>348511.88707720983</v>
      </c>
    </row>
    <row r="35" spans="1:9" x14ac:dyDescent="0.2">
      <c r="A35" s="71">
        <v>2005</v>
      </c>
      <c r="B35" s="60"/>
      <c r="C35" s="60"/>
      <c r="D35" s="60">
        <v>2243.64</v>
      </c>
      <c r="E35" s="60">
        <v>352147.82450922759</v>
      </c>
    </row>
    <row r="36" spans="1:9" x14ac:dyDescent="0.2">
      <c r="A36" s="71">
        <v>2006</v>
      </c>
      <c r="B36" s="60"/>
      <c r="C36" s="60"/>
      <c r="D36" s="60">
        <v>2315.34</v>
      </c>
      <c r="E36" s="60">
        <v>354874.05447724997</v>
      </c>
    </row>
    <row r="37" spans="1:9" x14ac:dyDescent="0.2">
      <c r="A37" s="71">
        <v>2007</v>
      </c>
      <c r="B37" s="60"/>
      <c r="C37" s="60"/>
      <c r="D37" s="60">
        <v>2345.64</v>
      </c>
      <c r="E37" s="60">
        <v>360103.20753946021</v>
      </c>
    </row>
    <row r="38" spans="1:9" x14ac:dyDescent="0.2">
      <c r="A38" s="71">
        <v>2008</v>
      </c>
      <c r="B38" s="60"/>
      <c r="C38" s="60"/>
      <c r="D38" s="60">
        <v>2405.2399999999998</v>
      </c>
      <c r="E38" s="60">
        <v>362438.71991341468</v>
      </c>
    </row>
    <row r="39" spans="1:9" x14ac:dyDescent="0.2">
      <c r="A39" s="71">
        <v>2009</v>
      </c>
      <c r="B39" s="60"/>
      <c r="C39" s="60"/>
      <c r="D39" s="60">
        <v>2566.64</v>
      </c>
      <c r="E39" s="60">
        <v>367746.63585955824</v>
      </c>
    </row>
    <row r="40" spans="1:9" x14ac:dyDescent="0.2">
      <c r="A40" s="71">
        <v>2010</v>
      </c>
      <c r="B40" s="60"/>
      <c r="C40" s="60"/>
      <c r="D40" s="60">
        <v>2606.94</v>
      </c>
      <c r="E40" s="60">
        <v>370777.5</v>
      </c>
      <c r="G40" s="59"/>
    </row>
    <row r="41" spans="1:9" x14ac:dyDescent="0.2">
      <c r="A41" s="71">
        <v>2011</v>
      </c>
      <c r="B41" s="60"/>
      <c r="C41" s="60"/>
      <c r="D41" s="60">
        <v>2694.94</v>
      </c>
      <c r="E41" s="60">
        <v>375615.53403003764</v>
      </c>
    </row>
    <row r="42" spans="1:9" x14ac:dyDescent="0.2">
      <c r="A42" s="71">
        <v>2012</v>
      </c>
      <c r="B42" s="60"/>
      <c r="C42" s="60"/>
      <c r="D42" s="60">
        <v>2715.94</v>
      </c>
      <c r="E42" s="60">
        <v>380275.38834562851</v>
      </c>
      <c r="I42" s="60"/>
    </row>
    <row r="43" spans="1:9" x14ac:dyDescent="0.2">
      <c r="A43" s="71">
        <v>2013</v>
      </c>
      <c r="B43" s="60"/>
      <c r="C43" s="60"/>
      <c r="D43" s="60">
        <v>2825.7400000000002</v>
      </c>
      <c r="E43" s="60">
        <v>384862.03261107899</v>
      </c>
      <c r="I43" s="60"/>
    </row>
    <row r="44" spans="1:9" x14ac:dyDescent="0.2">
      <c r="A44" s="71">
        <v>2014</v>
      </c>
      <c r="B44" s="60"/>
      <c r="C44" s="60"/>
      <c r="D44" s="60">
        <v>2879.0400000000004</v>
      </c>
      <c r="E44" s="60">
        <v>389449.16682638909</v>
      </c>
      <c r="I44" s="60"/>
    </row>
    <row r="45" spans="1:9" x14ac:dyDescent="0.2">
      <c r="A45" s="71">
        <v>2015</v>
      </c>
      <c r="B45" s="60"/>
      <c r="C45" s="60"/>
      <c r="D45" s="60">
        <v>2925.0400000000004</v>
      </c>
      <c r="E45" s="60">
        <v>394036.79099155875</v>
      </c>
      <c r="I45" s="60"/>
    </row>
    <row r="46" spans="1:9" x14ac:dyDescent="0.2">
      <c r="A46" s="71">
        <v>2016</v>
      </c>
      <c r="B46" s="60"/>
      <c r="C46" s="60"/>
      <c r="D46" s="60">
        <v>3024.0400000000004</v>
      </c>
      <c r="E46" s="60">
        <v>398624.90510658809</v>
      </c>
      <c r="G46" s="59"/>
      <c r="I46" s="60"/>
    </row>
    <row r="47" spans="1:9" x14ac:dyDescent="0.2">
      <c r="A47" s="71">
        <v>2017</v>
      </c>
      <c r="B47" s="60"/>
      <c r="C47" s="60"/>
      <c r="D47" s="60">
        <v>3131.0400000000004</v>
      </c>
      <c r="E47" s="60">
        <v>403213.50917147711</v>
      </c>
      <c r="G47" s="59"/>
      <c r="I47" s="60"/>
    </row>
    <row r="48" spans="1:9" x14ac:dyDescent="0.2">
      <c r="A48" s="71">
        <v>2018</v>
      </c>
      <c r="B48" s="60"/>
      <c r="C48" s="60"/>
      <c r="D48" s="60">
        <v>3146.7400000000002</v>
      </c>
      <c r="E48" s="60">
        <v>407802.60318622587</v>
      </c>
      <c r="G48" s="59"/>
      <c r="I48" s="60"/>
    </row>
    <row r="49" spans="1:9" x14ac:dyDescent="0.2">
      <c r="A49" s="71">
        <v>2019</v>
      </c>
      <c r="B49" s="60"/>
      <c r="C49" s="60"/>
      <c r="D49" s="60">
        <v>3233.7400000000002</v>
      </c>
      <c r="E49" s="60">
        <v>412392.18715083413</v>
      </c>
      <c r="G49" s="59"/>
      <c r="I49" s="60"/>
    </row>
    <row r="50" spans="1:9" x14ac:dyDescent="0.2">
      <c r="A50" s="71">
        <v>2020</v>
      </c>
      <c r="B50" s="60"/>
      <c r="C50" s="60"/>
      <c r="D50" s="60">
        <v>3277.2400000000002</v>
      </c>
      <c r="E50" s="60">
        <v>416982.26106530236</v>
      </c>
      <c r="G50" s="59"/>
      <c r="I50" s="60"/>
    </row>
    <row r="51" spans="1:9" x14ac:dyDescent="0.2">
      <c r="A51" s="71">
        <v>2021</v>
      </c>
      <c r="B51" s="60"/>
      <c r="C51" s="60"/>
      <c r="D51" s="60">
        <v>3292.2400000000002</v>
      </c>
      <c r="E51" s="60">
        <v>421194.86939977581</v>
      </c>
      <c r="G51" s="59"/>
      <c r="I51" s="60"/>
    </row>
    <row r="52" spans="1:9" ht="13.5" thickBot="1" x14ac:dyDescent="0.25">
      <c r="A52" s="71">
        <v>2022</v>
      </c>
      <c r="B52" s="144"/>
      <c r="C52" s="144"/>
      <c r="D52" s="144">
        <v>3301.2400000000002</v>
      </c>
      <c r="E52" s="144">
        <v>426681.01356319297</v>
      </c>
      <c r="G52" s="59"/>
      <c r="I52" s="60"/>
    </row>
    <row r="53" spans="1:9" ht="13.5" thickTop="1" x14ac:dyDescent="0.2">
      <c r="A53" s="71">
        <v>2023</v>
      </c>
      <c r="B53" s="60">
        <v>446887</v>
      </c>
      <c r="C53" s="60">
        <v>6517</v>
      </c>
      <c r="D53" s="60">
        <v>4885</v>
      </c>
      <c r="E53" s="60">
        <v>458289</v>
      </c>
      <c r="F53" s="60"/>
      <c r="G53" s="59"/>
      <c r="I53" s="60"/>
    </row>
    <row r="54" spans="1:9" x14ac:dyDescent="0.2">
      <c r="A54" s="74">
        <v>2024</v>
      </c>
      <c r="B54" s="61">
        <v>463991.05800000002</v>
      </c>
      <c r="C54" s="61">
        <v>6534.4965242427515</v>
      </c>
      <c r="D54" s="61">
        <v>5086.7689757572498</v>
      </c>
      <c r="E54" s="61">
        <v>475612.3235</v>
      </c>
      <c r="F54" s="60"/>
      <c r="G54" s="59"/>
      <c r="I54" s="60"/>
    </row>
    <row r="55" spans="1:9" x14ac:dyDescent="0.2">
      <c r="A55" s="140" t="s">
        <v>378</v>
      </c>
      <c r="B55" s="75"/>
      <c r="C55" s="75"/>
      <c r="D55" s="75"/>
      <c r="E55" s="75"/>
      <c r="G55" s="59"/>
    </row>
    <row r="56" spans="1:9" x14ac:dyDescent="0.2">
      <c r="A56" s="58" t="s">
        <v>379</v>
      </c>
    </row>
    <row r="59" spans="1:9" x14ac:dyDescent="0.2">
      <c r="A59" s="71" t="s">
        <v>249</v>
      </c>
      <c r="B59" s="71"/>
      <c r="C59" s="71"/>
      <c r="D59" s="71"/>
      <c r="E59" s="71"/>
      <c r="F59" s="71"/>
    </row>
    <row r="60" spans="1:9" ht="25.5" x14ac:dyDescent="0.2">
      <c r="A60" s="72"/>
      <c r="B60" s="73" t="s">
        <v>35</v>
      </c>
      <c r="C60" s="73" t="s">
        <v>294</v>
      </c>
      <c r="D60" s="73" t="s">
        <v>220</v>
      </c>
      <c r="E60" s="73" t="s">
        <v>206</v>
      </c>
    </row>
    <row r="61" spans="1:9" x14ac:dyDescent="0.2">
      <c r="A61" s="62"/>
      <c r="B61" s="191" t="s">
        <v>36</v>
      </c>
      <c r="C61" s="191"/>
      <c r="D61" s="191"/>
      <c r="E61" s="191"/>
    </row>
    <row r="62" spans="1:9" x14ac:dyDescent="0.2">
      <c r="A62" s="58" t="s">
        <v>9</v>
      </c>
    </row>
    <row r="63" spans="1:9" x14ac:dyDescent="0.2">
      <c r="A63" s="58">
        <v>2012</v>
      </c>
      <c r="B63" s="59"/>
      <c r="C63" s="59"/>
      <c r="D63" s="59">
        <v>991.89</v>
      </c>
      <c r="E63" s="59">
        <v>100151.83963781159</v>
      </c>
    </row>
    <row r="64" spans="1:9" x14ac:dyDescent="0.2">
      <c r="A64" s="58">
        <v>2013</v>
      </c>
      <c r="B64" s="59"/>
      <c r="C64" s="59"/>
      <c r="D64" s="59">
        <v>1046.8900000000001</v>
      </c>
      <c r="E64" s="59">
        <v>100935.4471458379</v>
      </c>
    </row>
    <row r="65" spans="1:6" x14ac:dyDescent="0.2">
      <c r="A65" s="58">
        <v>2014</v>
      </c>
      <c r="B65" s="59"/>
      <c r="C65" s="59"/>
      <c r="D65" s="59">
        <v>1090.3900000000001</v>
      </c>
      <c r="E65" s="59">
        <v>101709.11391593228</v>
      </c>
    </row>
    <row r="66" spans="1:6" x14ac:dyDescent="0.2">
      <c r="A66" s="58">
        <v>2015</v>
      </c>
      <c r="B66" s="59"/>
      <c r="C66" s="59"/>
      <c r="D66" s="59">
        <v>1090.3900000000001</v>
      </c>
      <c r="E66" s="59">
        <v>102472.83994809473</v>
      </c>
    </row>
    <row r="67" spans="1:6" x14ac:dyDescent="0.2">
      <c r="A67" s="58">
        <v>2016</v>
      </c>
      <c r="B67" s="59"/>
      <c r="C67" s="59"/>
      <c r="D67" s="59">
        <v>1121.8900000000001</v>
      </c>
      <c r="E67" s="59">
        <v>103226.62524232529</v>
      </c>
    </row>
    <row r="68" spans="1:6" x14ac:dyDescent="0.2">
      <c r="A68" s="58">
        <v>2017</v>
      </c>
      <c r="B68" s="59"/>
      <c r="C68" s="59"/>
      <c r="D68" s="59">
        <v>1190.8900000000001</v>
      </c>
      <c r="E68" s="59">
        <v>103970.46979862392</v>
      </c>
    </row>
    <row r="69" spans="1:6" x14ac:dyDescent="0.2">
      <c r="A69" s="58">
        <v>2018</v>
      </c>
      <c r="B69" s="59"/>
      <c r="C69" s="59"/>
      <c r="D69" s="59">
        <v>1190.8900000000001</v>
      </c>
      <c r="E69" s="59">
        <v>104704.37361699065</v>
      </c>
    </row>
    <row r="70" spans="1:6" x14ac:dyDescent="0.2">
      <c r="A70" s="58">
        <v>2019</v>
      </c>
      <c r="B70" s="59"/>
      <c r="C70" s="59"/>
      <c r="D70" s="59">
        <v>1190.8900000000001</v>
      </c>
      <c r="E70" s="59">
        <v>105428.33669742547</v>
      </c>
    </row>
    <row r="71" spans="1:6" x14ac:dyDescent="0.2">
      <c r="A71" s="58">
        <v>2020</v>
      </c>
      <c r="B71" s="59"/>
      <c r="C71" s="59"/>
      <c r="D71" s="59">
        <v>1190.8900000000001</v>
      </c>
      <c r="E71" s="59">
        <v>106142.35903992843</v>
      </c>
    </row>
    <row r="72" spans="1:6" x14ac:dyDescent="0.2">
      <c r="A72" s="58">
        <v>2021</v>
      </c>
      <c r="B72" s="59"/>
      <c r="C72" s="59"/>
      <c r="D72" s="59">
        <v>1200.8900000000001</v>
      </c>
      <c r="E72" s="59">
        <v>106750.14198963498</v>
      </c>
    </row>
    <row r="73" spans="1:6" ht="13.5" thickBot="1" x14ac:dyDescent="0.25">
      <c r="A73" s="58">
        <v>2022</v>
      </c>
      <c r="B73" s="142"/>
      <c r="C73" s="142"/>
      <c r="D73" s="142">
        <v>1200.8900000000001</v>
      </c>
      <c r="E73" s="142">
        <v>107671.07820963682</v>
      </c>
    </row>
    <row r="74" spans="1:6" ht="13.5" thickTop="1" x14ac:dyDescent="0.2">
      <c r="A74" s="58">
        <v>2023</v>
      </c>
      <c r="B74" s="59">
        <v>114984.762</v>
      </c>
      <c r="C74" s="59">
        <v>1329.94767300331</v>
      </c>
      <c r="D74" s="59">
        <v>1984.36482699669</v>
      </c>
      <c r="E74" s="59">
        <v>118299.0745</v>
      </c>
      <c r="F74" s="60"/>
    </row>
    <row r="75" spans="1:6" x14ac:dyDescent="0.2">
      <c r="A75" s="58">
        <v>2024</v>
      </c>
      <c r="B75" s="59">
        <v>119906.99800000001</v>
      </c>
      <c r="C75" s="59">
        <v>1310.704862263505</v>
      </c>
      <c r="D75" s="59">
        <v>2025.547137736495</v>
      </c>
      <c r="E75" s="59">
        <v>123243.25</v>
      </c>
      <c r="F75" s="60"/>
    </row>
    <row r="76" spans="1:6" x14ac:dyDescent="0.2">
      <c r="A76" s="58" t="s">
        <v>10</v>
      </c>
      <c r="B76" s="59"/>
      <c r="C76" s="59"/>
      <c r="D76" s="59"/>
      <c r="E76" s="59"/>
    </row>
    <row r="77" spans="1:6" x14ac:dyDescent="0.2">
      <c r="A77" s="58">
        <v>2012</v>
      </c>
      <c r="B77" s="59"/>
      <c r="C77" s="59"/>
      <c r="D77" s="59">
        <v>941.4</v>
      </c>
      <c r="E77" s="59">
        <v>81698.63587751209</v>
      </c>
    </row>
    <row r="78" spans="1:6" x14ac:dyDescent="0.2">
      <c r="A78" s="58">
        <v>2013</v>
      </c>
      <c r="B78" s="59"/>
      <c r="C78" s="59"/>
      <c r="D78" s="59">
        <v>978.4</v>
      </c>
      <c r="E78" s="59">
        <v>82644.087714845577</v>
      </c>
    </row>
    <row r="79" spans="1:6" x14ac:dyDescent="0.2">
      <c r="A79" s="58">
        <v>2014</v>
      </c>
      <c r="B79" s="59"/>
      <c r="C79" s="59"/>
      <c r="D79" s="59">
        <v>983.4</v>
      </c>
      <c r="E79" s="59">
        <v>83588.696922993666</v>
      </c>
    </row>
    <row r="80" spans="1:6" x14ac:dyDescent="0.2">
      <c r="A80" s="58">
        <v>2015</v>
      </c>
      <c r="B80" s="59"/>
      <c r="C80" s="59"/>
      <c r="D80" s="59">
        <v>1029.4000000000001</v>
      </c>
      <c r="E80" s="59">
        <v>84532.463501956343</v>
      </c>
    </row>
    <row r="81" spans="1:6" x14ac:dyDescent="0.2">
      <c r="A81" s="58">
        <v>2016</v>
      </c>
      <c r="B81" s="59"/>
      <c r="C81" s="59"/>
      <c r="D81" s="59">
        <v>1073.4000000000001</v>
      </c>
      <c r="E81" s="59">
        <v>85475.387451733623</v>
      </c>
    </row>
    <row r="82" spans="1:6" x14ac:dyDescent="0.2">
      <c r="A82" s="58">
        <v>2017</v>
      </c>
      <c r="B82" s="59"/>
      <c r="C82" s="59"/>
      <c r="D82" s="59">
        <v>1073.4000000000001</v>
      </c>
      <c r="E82" s="59">
        <v>86417.468772325505</v>
      </c>
    </row>
    <row r="83" spans="1:6" x14ac:dyDescent="0.2">
      <c r="A83" s="58">
        <v>2018</v>
      </c>
      <c r="B83" s="59"/>
      <c r="C83" s="59"/>
      <c r="D83" s="59">
        <v>1073.4000000000001</v>
      </c>
      <c r="E83" s="59">
        <v>87358.707463731975</v>
      </c>
    </row>
    <row r="84" spans="1:6" x14ac:dyDescent="0.2">
      <c r="A84" s="58">
        <v>2019</v>
      </c>
      <c r="B84" s="59"/>
      <c r="C84" s="59"/>
      <c r="D84" s="59">
        <v>1110.4000000000001</v>
      </c>
      <c r="E84" s="59">
        <v>88299.103525953047</v>
      </c>
    </row>
    <row r="85" spans="1:6" x14ac:dyDescent="0.2">
      <c r="A85" s="58">
        <v>2020</v>
      </c>
      <c r="B85" s="59"/>
      <c r="C85" s="59"/>
      <c r="D85" s="59">
        <v>1110.4000000000001</v>
      </c>
      <c r="E85" s="59">
        <v>89238.656958988751</v>
      </c>
    </row>
    <row r="86" spans="1:6" x14ac:dyDescent="0.2">
      <c r="A86" s="58">
        <v>2021</v>
      </c>
      <c r="B86" s="59"/>
      <c r="C86" s="59"/>
      <c r="D86" s="59">
        <v>1114.4000000000001</v>
      </c>
      <c r="E86" s="59">
        <v>90096.09262477739</v>
      </c>
    </row>
    <row r="87" spans="1:6" ht="13.5" thickBot="1" x14ac:dyDescent="0.25">
      <c r="A87" s="58">
        <v>2022</v>
      </c>
      <c r="B87" s="142"/>
      <c r="C87" s="142"/>
      <c r="D87" s="142">
        <v>1123.4000000000001</v>
      </c>
      <c r="E87" s="142">
        <v>91225.801059113452</v>
      </c>
    </row>
    <row r="88" spans="1:6" ht="13.5" thickTop="1" x14ac:dyDescent="0.2">
      <c r="A88" s="58">
        <v>2023</v>
      </c>
      <c r="B88" s="59">
        <v>93115.513999999996</v>
      </c>
      <c r="C88" s="59">
        <v>1641.41608372324</v>
      </c>
      <c r="D88" s="59">
        <v>1396.7339162767601</v>
      </c>
      <c r="E88" s="59">
        <v>96153.66399999999</v>
      </c>
      <c r="F88" s="60"/>
    </row>
    <row r="89" spans="1:6" x14ac:dyDescent="0.2">
      <c r="A89" s="58">
        <v>2024</v>
      </c>
      <c r="B89" s="59">
        <v>97074.22</v>
      </c>
      <c r="C89" s="59">
        <v>1693.78222361908</v>
      </c>
      <c r="D89" s="59">
        <v>1406.4697763809199</v>
      </c>
      <c r="E89" s="59">
        <v>100174.47199999999</v>
      </c>
      <c r="F89" s="60"/>
    </row>
    <row r="90" spans="1:6" x14ac:dyDescent="0.2">
      <c r="A90" s="58" t="s">
        <v>11</v>
      </c>
      <c r="B90" s="59"/>
      <c r="C90" s="59"/>
      <c r="D90" s="59"/>
      <c r="E90" s="59"/>
    </row>
    <row r="91" spans="1:6" x14ac:dyDescent="0.2">
      <c r="A91" s="58">
        <v>2012</v>
      </c>
      <c r="B91" s="59"/>
      <c r="C91" s="59"/>
      <c r="D91" s="59">
        <v>348.6</v>
      </c>
      <c r="E91" s="59">
        <v>88212.170305066422</v>
      </c>
    </row>
    <row r="92" spans="1:6" x14ac:dyDescent="0.2">
      <c r="A92" s="58">
        <v>2013</v>
      </c>
      <c r="B92" s="59"/>
      <c r="C92" s="59"/>
      <c r="D92" s="59">
        <v>363.6</v>
      </c>
      <c r="E92" s="59">
        <v>88944.218551507132</v>
      </c>
    </row>
    <row r="93" spans="1:6" x14ac:dyDescent="0.2">
      <c r="A93" s="58">
        <v>2014</v>
      </c>
      <c r="B93" s="59"/>
      <c r="C93" s="59"/>
      <c r="D93" s="59">
        <v>363.6</v>
      </c>
      <c r="E93" s="59">
        <v>89668.504434957853</v>
      </c>
    </row>
    <row r="94" spans="1:6" x14ac:dyDescent="0.2">
      <c r="A94" s="58">
        <v>2015</v>
      </c>
      <c r="B94" s="59"/>
      <c r="C94" s="59"/>
      <c r="D94" s="59">
        <v>363.6</v>
      </c>
      <c r="E94" s="59">
        <v>90385.027955418554</v>
      </c>
    </row>
    <row r="95" spans="1:6" x14ac:dyDescent="0.2">
      <c r="A95" s="58">
        <v>2016</v>
      </c>
      <c r="B95" s="59"/>
      <c r="C95" s="59"/>
      <c r="D95" s="59">
        <v>363.6</v>
      </c>
      <c r="E95" s="59">
        <v>91093.789112889295</v>
      </c>
    </row>
    <row r="96" spans="1:6" x14ac:dyDescent="0.2">
      <c r="A96" s="58">
        <v>2017</v>
      </c>
      <c r="B96" s="59"/>
      <c r="C96" s="59"/>
      <c r="D96" s="59">
        <v>389.6</v>
      </c>
      <c r="E96" s="59">
        <v>91794.787907370017</v>
      </c>
    </row>
    <row r="97" spans="1:6" x14ac:dyDescent="0.2">
      <c r="A97" s="58">
        <v>2018</v>
      </c>
      <c r="B97" s="59"/>
      <c r="C97" s="59"/>
      <c r="D97" s="59">
        <v>389.6</v>
      </c>
      <c r="E97" s="59">
        <v>92488.024338860763</v>
      </c>
    </row>
    <row r="98" spans="1:6" x14ac:dyDescent="0.2">
      <c r="A98" s="58">
        <v>2019</v>
      </c>
      <c r="B98" s="59"/>
      <c r="C98" s="59"/>
      <c r="D98" s="59">
        <v>430.6</v>
      </c>
      <c r="E98" s="59">
        <v>93173.498407361505</v>
      </c>
    </row>
    <row r="99" spans="1:6" x14ac:dyDescent="0.2">
      <c r="A99" s="58">
        <v>2020</v>
      </c>
      <c r="B99" s="59"/>
      <c r="C99" s="59"/>
      <c r="D99" s="59">
        <v>430.6</v>
      </c>
      <c r="E99" s="59">
        <v>93851.210112872315</v>
      </c>
    </row>
    <row r="100" spans="1:6" x14ac:dyDescent="0.2">
      <c r="A100" s="58">
        <v>2021</v>
      </c>
      <c r="B100" s="59"/>
      <c r="C100" s="59"/>
      <c r="D100" s="59">
        <v>430.6</v>
      </c>
      <c r="E100" s="59">
        <v>94435.969340899086</v>
      </c>
    </row>
    <row r="101" spans="1:6" ht="13.5" thickBot="1" x14ac:dyDescent="0.25">
      <c r="A101" s="58">
        <v>2022</v>
      </c>
      <c r="B101" s="142"/>
      <c r="C101" s="142"/>
      <c r="D101" s="142">
        <v>705.21</v>
      </c>
      <c r="E101" s="142">
        <v>101371.8305</v>
      </c>
    </row>
    <row r="102" spans="1:6" ht="13.5" thickTop="1" x14ac:dyDescent="0.2">
      <c r="A102" s="58">
        <v>2023</v>
      </c>
      <c r="B102" s="59">
        <v>98631.577999999994</v>
      </c>
      <c r="C102" s="59">
        <v>1310.805513621455</v>
      </c>
      <c r="D102" s="59">
        <v>705.21348637854499</v>
      </c>
      <c r="E102" s="59">
        <v>100647.59699999999</v>
      </c>
      <c r="F102" s="60"/>
    </row>
    <row r="103" spans="1:6" x14ac:dyDescent="0.2">
      <c r="A103" s="58">
        <v>2024</v>
      </c>
      <c r="B103" s="59">
        <v>104007.651</v>
      </c>
      <c r="C103" s="59">
        <v>1261.8994410820801</v>
      </c>
      <c r="D103" s="59">
        <v>807.72405891792005</v>
      </c>
      <c r="E103" s="59">
        <v>106077.2745</v>
      </c>
      <c r="F103" s="60"/>
    </row>
    <row r="104" spans="1:6" x14ac:dyDescent="0.2">
      <c r="A104" s="58" t="s">
        <v>12</v>
      </c>
      <c r="B104" s="59"/>
      <c r="C104" s="59"/>
      <c r="D104" s="59"/>
      <c r="E104" s="59"/>
    </row>
    <row r="105" spans="1:6" x14ac:dyDescent="0.2">
      <c r="A105" s="58">
        <v>2012</v>
      </c>
      <c r="B105" s="59"/>
      <c r="C105" s="59"/>
      <c r="D105" s="59">
        <v>123.5</v>
      </c>
      <c r="E105" s="59">
        <v>31164.583732346124</v>
      </c>
    </row>
    <row r="106" spans="1:6" x14ac:dyDescent="0.2">
      <c r="A106" s="58">
        <v>2013</v>
      </c>
      <c r="B106" s="59"/>
      <c r="C106" s="59"/>
      <c r="D106" s="59">
        <v>123.5</v>
      </c>
      <c r="E106" s="59">
        <v>31567.821949496021</v>
      </c>
    </row>
    <row r="107" spans="1:6" x14ac:dyDescent="0.2">
      <c r="A107" s="58">
        <v>2014</v>
      </c>
      <c r="B107" s="59"/>
      <c r="C107" s="59"/>
      <c r="D107" s="59">
        <v>128.30000000000001</v>
      </c>
      <c r="E107" s="59">
        <v>31971.7493251909</v>
      </c>
    </row>
    <row r="108" spans="1:6" x14ac:dyDescent="0.2">
      <c r="A108" s="58">
        <v>2015</v>
      </c>
      <c r="B108" s="59"/>
      <c r="C108" s="59"/>
      <c r="D108" s="59">
        <v>128.30000000000001</v>
      </c>
      <c r="E108" s="59">
        <v>32376.365859430764</v>
      </c>
    </row>
    <row r="109" spans="1:6" x14ac:dyDescent="0.2">
      <c r="A109" s="58">
        <v>2016</v>
      </c>
      <c r="B109" s="59"/>
      <c r="C109" s="59"/>
      <c r="D109" s="59">
        <v>128.30000000000001</v>
      </c>
      <c r="E109" s="59">
        <v>32781.671552215616</v>
      </c>
    </row>
    <row r="110" spans="1:6" x14ac:dyDescent="0.2">
      <c r="A110" s="58">
        <v>2017</v>
      </c>
      <c r="B110" s="59"/>
      <c r="C110" s="59"/>
      <c r="D110" s="59">
        <v>128.30000000000001</v>
      </c>
      <c r="E110" s="59">
        <v>33187.666403545445</v>
      </c>
    </row>
    <row r="111" spans="1:6" x14ac:dyDescent="0.2">
      <c r="A111" s="58">
        <v>2018</v>
      </c>
      <c r="B111" s="59"/>
      <c r="C111" s="59"/>
      <c r="D111" s="59">
        <v>131</v>
      </c>
      <c r="E111" s="59">
        <v>33594.350413420259</v>
      </c>
    </row>
    <row r="112" spans="1:6" x14ac:dyDescent="0.2">
      <c r="A112" s="58">
        <v>2019</v>
      </c>
      <c r="B112" s="59"/>
      <c r="C112" s="59"/>
      <c r="D112" s="59">
        <v>131</v>
      </c>
      <c r="E112" s="59">
        <v>34001.723581840059</v>
      </c>
    </row>
    <row r="113" spans="1:6" x14ac:dyDescent="0.2">
      <c r="A113" s="58">
        <v>2020</v>
      </c>
      <c r="B113" s="59"/>
      <c r="C113" s="59"/>
      <c r="D113" s="59">
        <v>146.5</v>
      </c>
      <c r="E113" s="59">
        <v>34409.785908804857</v>
      </c>
    </row>
    <row r="114" spans="1:6" x14ac:dyDescent="0.2">
      <c r="A114" s="58">
        <v>2021</v>
      </c>
      <c r="B114" s="59"/>
      <c r="C114" s="59"/>
      <c r="D114" s="59">
        <v>147.5</v>
      </c>
      <c r="E114" s="59">
        <v>34787.156112025819</v>
      </c>
    </row>
    <row r="115" spans="1:6" ht="13.5" thickBot="1" x14ac:dyDescent="0.25">
      <c r="A115" s="58">
        <v>2022</v>
      </c>
      <c r="B115" s="143"/>
      <c r="C115" s="143"/>
      <c r="D115" s="143">
        <v>148</v>
      </c>
      <c r="E115" s="143">
        <v>35271</v>
      </c>
    </row>
    <row r="116" spans="1:6" ht="13.5" thickTop="1" x14ac:dyDescent="0.2">
      <c r="A116" s="58">
        <v>2023</v>
      </c>
      <c r="B116" s="59">
        <v>37491.203000000001</v>
      </c>
      <c r="C116" s="59">
        <v>609.18855611575998</v>
      </c>
      <c r="D116" s="59">
        <v>192.37444388424001</v>
      </c>
      <c r="E116" s="59">
        <v>38292.766000000003</v>
      </c>
      <c r="F116" s="60"/>
    </row>
    <row r="117" spans="1:6" x14ac:dyDescent="0.2">
      <c r="A117" s="58">
        <v>2024</v>
      </c>
      <c r="B117" s="59">
        <v>38575.874000000003</v>
      </c>
      <c r="C117" s="59">
        <v>619.8254463334456</v>
      </c>
      <c r="D117" s="59">
        <v>195.51855366655451</v>
      </c>
      <c r="E117" s="59">
        <v>39391.218000000001</v>
      </c>
      <c r="F117" s="60"/>
    </row>
    <row r="118" spans="1:6" x14ac:dyDescent="0.2">
      <c r="A118" s="58" t="s">
        <v>13</v>
      </c>
      <c r="B118" s="59"/>
      <c r="C118" s="59"/>
      <c r="D118" s="59"/>
      <c r="E118" s="59"/>
    </row>
    <row r="119" spans="1:6" x14ac:dyDescent="0.2">
      <c r="A119" s="58">
        <v>2012</v>
      </c>
      <c r="B119" s="59"/>
      <c r="C119" s="59"/>
      <c r="D119" s="59">
        <v>167.3</v>
      </c>
      <c r="E119" s="59">
        <v>54778.854129157655</v>
      </c>
    </row>
    <row r="120" spans="1:6" x14ac:dyDescent="0.2">
      <c r="A120" s="58">
        <v>2013</v>
      </c>
      <c r="B120" s="59"/>
      <c r="C120" s="59"/>
      <c r="D120" s="59">
        <v>167.3</v>
      </c>
      <c r="E120" s="59">
        <v>55750.192828808627</v>
      </c>
    </row>
    <row r="121" spans="1:6" x14ac:dyDescent="0.2">
      <c r="A121" s="58">
        <v>2014</v>
      </c>
      <c r="B121" s="59"/>
      <c r="C121" s="59"/>
      <c r="D121" s="59">
        <v>167.3</v>
      </c>
      <c r="E121" s="59">
        <v>56728.973128470461</v>
      </c>
    </row>
    <row r="122" spans="1:6" x14ac:dyDescent="0.2">
      <c r="A122" s="58">
        <v>2015</v>
      </c>
      <c r="B122" s="59"/>
      <c r="C122" s="59"/>
      <c r="D122" s="59">
        <v>167.3</v>
      </c>
      <c r="E122" s="59">
        <v>57715.195028143149</v>
      </c>
    </row>
    <row r="123" spans="1:6" x14ac:dyDescent="0.2">
      <c r="A123" s="58">
        <v>2016</v>
      </c>
      <c r="B123" s="59"/>
      <c r="C123" s="59"/>
      <c r="D123" s="59">
        <v>179.3</v>
      </c>
      <c r="E123" s="59">
        <v>58708.858527826684</v>
      </c>
    </row>
    <row r="124" spans="1:6" x14ac:dyDescent="0.2">
      <c r="A124" s="58">
        <v>2017</v>
      </c>
      <c r="B124" s="59"/>
      <c r="C124" s="59"/>
      <c r="D124" s="59">
        <v>191.3</v>
      </c>
      <c r="E124" s="59">
        <v>59709.963627521094</v>
      </c>
    </row>
    <row r="125" spans="1:6" x14ac:dyDescent="0.2">
      <c r="A125" s="58">
        <v>2018</v>
      </c>
      <c r="B125" s="59"/>
      <c r="C125" s="59"/>
      <c r="D125" s="59">
        <v>204.3</v>
      </c>
      <c r="E125" s="59">
        <v>60718.510327226359</v>
      </c>
    </row>
    <row r="126" spans="1:6" x14ac:dyDescent="0.2">
      <c r="A126" s="58">
        <v>2019</v>
      </c>
      <c r="B126" s="59"/>
      <c r="C126" s="59"/>
      <c r="D126" s="59">
        <v>213.3</v>
      </c>
      <c r="E126" s="59">
        <v>61734.498626942477</v>
      </c>
    </row>
    <row r="127" spans="1:6" x14ac:dyDescent="0.2">
      <c r="A127" s="58">
        <v>2020</v>
      </c>
      <c r="B127" s="59"/>
      <c r="C127" s="59"/>
      <c r="D127" s="59">
        <v>241.3</v>
      </c>
      <c r="E127" s="59">
        <v>62757.928526669501</v>
      </c>
    </row>
    <row r="128" spans="1:6" x14ac:dyDescent="0.2">
      <c r="A128" s="58">
        <v>2021</v>
      </c>
      <c r="B128" s="59"/>
      <c r="C128" s="59"/>
      <c r="D128" s="59">
        <v>241.3</v>
      </c>
      <c r="E128" s="59">
        <v>63731.308400098547</v>
      </c>
    </row>
    <row r="129" spans="1:6" ht="13.5" thickBot="1" x14ac:dyDescent="0.25">
      <c r="A129" s="58">
        <v>2022</v>
      </c>
      <c r="B129" s="142"/>
      <c r="C129" s="142"/>
      <c r="D129" s="142">
        <v>241.3</v>
      </c>
      <c r="E129" s="142">
        <v>64905.778538945087</v>
      </c>
    </row>
    <row r="130" spans="1:6" ht="13.5" thickTop="1" x14ac:dyDescent="0.2">
      <c r="A130" s="58">
        <v>2023</v>
      </c>
      <c r="B130" s="59">
        <v>68236.062000000005</v>
      </c>
      <c r="C130" s="59">
        <v>1147.1407749329719</v>
      </c>
      <c r="D130" s="59">
        <v>357.68172506702803</v>
      </c>
      <c r="E130" s="59">
        <v>69740.8845</v>
      </c>
      <c r="F130" s="60"/>
    </row>
    <row r="131" spans="1:6" x14ac:dyDescent="0.2">
      <c r="A131" s="58">
        <v>2024</v>
      </c>
      <c r="B131" s="59">
        <v>68994.725000000006</v>
      </c>
      <c r="C131" s="59">
        <v>1150.647073051075</v>
      </c>
      <c r="D131" s="59">
        <v>395.68692694892502</v>
      </c>
      <c r="E131" s="59">
        <v>70541.059000000008</v>
      </c>
      <c r="F131" s="60"/>
    </row>
    <row r="132" spans="1:6" x14ac:dyDescent="0.2">
      <c r="A132" s="58" t="s">
        <v>14</v>
      </c>
      <c r="B132" s="59"/>
      <c r="C132" s="59"/>
      <c r="D132" s="59"/>
      <c r="E132" s="59"/>
    </row>
    <row r="133" spans="1:6" x14ac:dyDescent="0.2">
      <c r="A133" s="58">
        <v>2012</v>
      </c>
      <c r="B133" s="59"/>
      <c r="C133" s="59"/>
      <c r="D133" s="59">
        <v>108.2</v>
      </c>
      <c r="E133" s="59">
        <v>11370.364627571582</v>
      </c>
    </row>
    <row r="134" spans="1:6" x14ac:dyDescent="0.2">
      <c r="A134" s="58">
        <v>2013</v>
      </c>
      <c r="B134" s="59"/>
      <c r="C134" s="59"/>
      <c r="D134" s="59">
        <v>111</v>
      </c>
      <c r="E134" s="59">
        <v>11470.044112081501</v>
      </c>
    </row>
    <row r="135" spans="1:6" x14ac:dyDescent="0.2">
      <c r="A135" s="58">
        <v>2014</v>
      </c>
      <c r="B135" s="59"/>
      <c r="C135" s="59"/>
      <c r="D135" s="59">
        <v>111</v>
      </c>
      <c r="E135" s="59">
        <v>11568.849283606698</v>
      </c>
    </row>
    <row r="136" spans="1:6" x14ac:dyDescent="0.2">
      <c r="A136" s="58">
        <v>2015</v>
      </c>
      <c r="B136" s="59"/>
      <c r="C136" s="59"/>
      <c r="D136" s="59">
        <v>111</v>
      </c>
      <c r="E136" s="59">
        <v>11666.780142147172</v>
      </c>
    </row>
    <row r="137" spans="1:6" x14ac:dyDescent="0.2">
      <c r="A137" s="58">
        <v>2016</v>
      </c>
      <c r="B137" s="59"/>
      <c r="C137" s="59"/>
      <c r="D137" s="59">
        <v>111</v>
      </c>
      <c r="E137" s="59">
        <v>11763.836687702924</v>
      </c>
    </row>
    <row r="138" spans="1:6" x14ac:dyDescent="0.2">
      <c r="A138" s="58">
        <v>2017</v>
      </c>
      <c r="B138" s="59"/>
      <c r="C138" s="59"/>
      <c r="D138" s="59">
        <v>111</v>
      </c>
      <c r="E138" s="59">
        <v>11860.018920273955</v>
      </c>
    </row>
    <row r="139" spans="1:6" x14ac:dyDescent="0.2">
      <c r="A139" s="58">
        <v>2018</v>
      </c>
      <c r="B139" s="59"/>
      <c r="C139" s="59"/>
      <c r="D139" s="59">
        <v>111</v>
      </c>
      <c r="E139" s="59">
        <v>11955.326839860263</v>
      </c>
    </row>
    <row r="140" spans="1:6" x14ac:dyDescent="0.2">
      <c r="A140" s="58">
        <v>2019</v>
      </c>
      <c r="B140" s="59"/>
      <c r="C140" s="59"/>
      <c r="D140" s="59">
        <v>111</v>
      </c>
      <c r="E140" s="59">
        <v>12049.760446461851</v>
      </c>
    </row>
    <row r="141" spans="1:6" x14ac:dyDescent="0.2">
      <c r="A141" s="58">
        <v>2020</v>
      </c>
      <c r="B141" s="59"/>
      <c r="C141" s="59"/>
      <c r="D141" s="59">
        <v>111</v>
      </c>
      <c r="E141" s="59">
        <v>12143.319740078723</v>
      </c>
    </row>
    <row r="142" spans="1:6" x14ac:dyDescent="0.2">
      <c r="A142" s="58">
        <v>2021</v>
      </c>
      <c r="B142" s="59"/>
      <c r="C142" s="59"/>
      <c r="D142" s="59">
        <v>111</v>
      </c>
      <c r="E142" s="59">
        <v>12224.976643515109</v>
      </c>
    </row>
    <row r="143" spans="1:6" ht="13.5" thickBot="1" x14ac:dyDescent="0.25">
      <c r="A143" s="58">
        <v>2022</v>
      </c>
      <c r="B143" s="142"/>
      <c r="C143" s="142"/>
      <c r="D143" s="142">
        <v>111</v>
      </c>
      <c r="E143" s="142">
        <v>12342.774757047495</v>
      </c>
    </row>
    <row r="144" spans="1:6" ht="13.5" thickTop="1" x14ac:dyDescent="0.2">
      <c r="A144" s="58">
        <v>2023</v>
      </c>
      <c r="B144" s="59">
        <v>12914.643</v>
      </c>
      <c r="C144" s="59">
        <v>108.04349999999999</v>
      </c>
      <c r="D144" s="59">
        <v>172</v>
      </c>
      <c r="E144" s="59">
        <f>SUM(B144:D144)</f>
        <v>13194.6865</v>
      </c>
      <c r="F144" s="60"/>
    </row>
    <row r="145" spans="1:6" x14ac:dyDescent="0.2">
      <c r="A145" s="58">
        <v>2024</v>
      </c>
      <c r="B145" s="59">
        <v>13500.531000000001</v>
      </c>
      <c r="C145" s="59">
        <v>131.84564633557349</v>
      </c>
      <c r="D145" s="59">
        <v>174.49185366442649</v>
      </c>
      <c r="E145" s="59">
        <f>SUM(B145:D145)</f>
        <v>13806.868500000002</v>
      </c>
      <c r="F145" s="60"/>
    </row>
    <row r="146" spans="1:6" x14ac:dyDescent="0.2">
      <c r="A146" s="58" t="s">
        <v>15</v>
      </c>
      <c r="B146" s="59"/>
      <c r="C146" s="59"/>
      <c r="D146" s="59"/>
      <c r="E146" s="59"/>
    </row>
    <row r="147" spans="1:6" x14ac:dyDescent="0.2">
      <c r="A147" s="58">
        <v>2012</v>
      </c>
      <c r="B147" s="59"/>
      <c r="C147" s="59"/>
      <c r="D147" s="59">
        <v>0</v>
      </c>
      <c r="E147" s="59">
        <v>9380.1487392176059</v>
      </c>
    </row>
    <row r="148" spans="1:6" x14ac:dyDescent="0.2">
      <c r="A148" s="58">
        <v>2013</v>
      </c>
      <c r="B148" s="59"/>
      <c r="C148" s="59"/>
      <c r="D148" s="59">
        <v>0</v>
      </c>
      <c r="E148" s="59">
        <v>9986.8992227685885</v>
      </c>
    </row>
    <row r="149" spans="1:6" x14ac:dyDescent="0.2">
      <c r="A149" s="58">
        <v>2014</v>
      </c>
      <c r="B149" s="59"/>
      <c r="C149" s="59"/>
      <c r="D149" s="59">
        <v>0</v>
      </c>
      <c r="E149" s="59">
        <v>10605.374852699328</v>
      </c>
    </row>
    <row r="150" spans="1:6" x14ac:dyDescent="0.2">
      <c r="A150" s="58">
        <v>2015</v>
      </c>
      <c r="B150" s="59"/>
      <c r="C150" s="59"/>
      <c r="D150" s="59">
        <v>0</v>
      </c>
      <c r="E150" s="59">
        <v>11235.575629009825</v>
      </c>
    </row>
    <row r="151" spans="1:6" x14ac:dyDescent="0.2">
      <c r="A151" s="58">
        <v>2016</v>
      </c>
      <c r="B151" s="59"/>
      <c r="C151" s="59"/>
      <c r="D151" s="59">
        <v>0</v>
      </c>
      <c r="E151" s="59">
        <v>11877.501551700079</v>
      </c>
    </row>
    <row r="152" spans="1:6" x14ac:dyDescent="0.2">
      <c r="A152" s="58">
        <v>2017</v>
      </c>
      <c r="B152" s="59"/>
      <c r="C152" s="59"/>
      <c r="D152" s="59">
        <v>0</v>
      </c>
      <c r="E152" s="59">
        <v>12531.152620770092</v>
      </c>
    </row>
    <row r="153" spans="1:6" x14ac:dyDescent="0.2">
      <c r="A153" s="58">
        <v>2018</v>
      </c>
      <c r="B153" s="59"/>
      <c r="C153" s="59"/>
      <c r="D153" s="59">
        <v>0</v>
      </c>
      <c r="E153" s="59">
        <v>13196.528836219863</v>
      </c>
    </row>
    <row r="154" spans="1:6" x14ac:dyDescent="0.2">
      <c r="A154" s="58">
        <v>2019</v>
      </c>
      <c r="B154" s="59"/>
      <c r="C154" s="59"/>
      <c r="D154" s="59">
        <v>0</v>
      </c>
      <c r="E154" s="59">
        <v>13873.630198049392</v>
      </c>
    </row>
    <row r="155" spans="1:6" x14ac:dyDescent="0.2">
      <c r="A155" s="58">
        <v>2020</v>
      </c>
      <c r="B155" s="59"/>
      <c r="C155" s="59"/>
      <c r="D155" s="59">
        <v>0</v>
      </c>
      <c r="E155" s="59">
        <v>14562.456706258687</v>
      </c>
    </row>
    <row r="156" spans="1:6" x14ac:dyDescent="0.2">
      <c r="A156" s="58">
        <v>2021</v>
      </c>
      <c r="B156" s="59"/>
      <c r="C156" s="59"/>
      <c r="D156" s="59">
        <v>0</v>
      </c>
      <c r="E156" s="59">
        <v>15249.252103124325</v>
      </c>
    </row>
    <row r="157" spans="1:6" ht="13.5" thickBot="1" x14ac:dyDescent="0.25">
      <c r="A157" s="58">
        <v>2022</v>
      </c>
      <c r="B157" s="142"/>
      <c r="C157" s="142"/>
      <c r="D157" s="142">
        <v>0</v>
      </c>
      <c r="E157" s="142">
        <v>15994.670606286823</v>
      </c>
    </row>
    <row r="158" spans="1:6" ht="13.5" thickTop="1" x14ac:dyDescent="0.2">
      <c r="A158" s="58">
        <v>2023</v>
      </c>
      <c r="B158" s="59">
        <v>17441.817999999999</v>
      </c>
      <c r="C158" s="59">
        <v>140.74250000000001</v>
      </c>
      <c r="D158" s="59">
        <v>0</v>
      </c>
      <c r="E158" s="59">
        <v>17582.5605</v>
      </c>
      <c r="F158" s="60"/>
    </row>
    <row r="159" spans="1:6" x14ac:dyDescent="0.2">
      <c r="A159" s="58">
        <v>2024</v>
      </c>
      <c r="B159" s="59">
        <v>17521.577000000001</v>
      </c>
      <c r="C159" s="59">
        <v>140.42400000000001</v>
      </c>
      <c r="D159" s="59">
        <v>0</v>
      </c>
      <c r="E159" s="59">
        <v>17662.001</v>
      </c>
      <c r="F159" s="60"/>
    </row>
    <row r="160" spans="1:6" x14ac:dyDescent="0.2">
      <c r="A160" s="58" t="s">
        <v>16</v>
      </c>
      <c r="B160" s="59"/>
      <c r="C160" s="59"/>
      <c r="D160" s="59"/>
      <c r="E160" s="59"/>
    </row>
    <row r="161" spans="1:6" x14ac:dyDescent="0.2">
      <c r="B161" s="59"/>
      <c r="C161" s="59"/>
      <c r="D161" s="59"/>
      <c r="E161" s="59"/>
    </row>
    <row r="162" spans="1:6" x14ac:dyDescent="0.2">
      <c r="A162" s="58">
        <v>2012</v>
      </c>
      <c r="B162" s="59"/>
      <c r="C162" s="59"/>
      <c r="D162" s="59">
        <v>35.049999999999997</v>
      </c>
      <c r="E162" s="59">
        <v>3518.7912969454392</v>
      </c>
    </row>
    <row r="163" spans="1:6" x14ac:dyDescent="0.2">
      <c r="A163" s="58">
        <v>2013</v>
      </c>
      <c r="B163" s="59"/>
      <c r="C163" s="59"/>
      <c r="D163" s="59">
        <v>35.049999999999997</v>
      </c>
      <c r="E163" s="59">
        <v>3563.3210857336426</v>
      </c>
    </row>
    <row r="164" spans="1:6" x14ac:dyDescent="0.2">
      <c r="A164" s="58">
        <v>2014</v>
      </c>
      <c r="B164" s="59"/>
      <c r="C164" s="59"/>
      <c r="D164" s="59">
        <v>35.049999999999997</v>
      </c>
      <c r="E164" s="59">
        <v>3607.904962537918</v>
      </c>
    </row>
    <row r="165" spans="1:6" x14ac:dyDescent="0.2">
      <c r="A165" s="58">
        <v>2015</v>
      </c>
      <c r="B165" s="59"/>
      <c r="C165" s="59"/>
      <c r="D165" s="59">
        <v>35.049999999999997</v>
      </c>
      <c r="E165" s="59">
        <v>3652.5429273582663</v>
      </c>
    </row>
    <row r="166" spans="1:6" x14ac:dyDescent="0.2">
      <c r="A166" s="58">
        <v>2016</v>
      </c>
      <c r="B166" s="59"/>
      <c r="C166" s="59"/>
      <c r="D166" s="59">
        <v>46.55</v>
      </c>
      <c r="E166" s="59">
        <v>3697.2349801946857</v>
      </c>
    </row>
    <row r="167" spans="1:6" x14ac:dyDescent="0.2">
      <c r="A167" s="58">
        <v>2017</v>
      </c>
      <c r="B167" s="59"/>
      <c r="C167" s="59"/>
      <c r="D167" s="59">
        <v>46.55</v>
      </c>
      <c r="E167" s="59">
        <v>3741.9811210471776</v>
      </c>
    </row>
    <row r="168" spans="1:6" x14ac:dyDescent="0.2">
      <c r="A168" s="58">
        <v>2018</v>
      </c>
      <c r="B168" s="59"/>
      <c r="C168" s="59"/>
      <c r="D168" s="59">
        <v>46.55</v>
      </c>
      <c r="E168" s="59">
        <v>3786.7813499157423</v>
      </c>
    </row>
    <row r="169" spans="1:6" x14ac:dyDescent="0.2">
      <c r="A169" s="58">
        <v>2019</v>
      </c>
      <c r="B169" s="59"/>
      <c r="C169" s="59"/>
      <c r="D169" s="59">
        <v>46.55</v>
      </c>
      <c r="E169" s="59">
        <v>3831.6356668003782</v>
      </c>
    </row>
    <row r="170" spans="1:6" x14ac:dyDescent="0.2">
      <c r="A170" s="58">
        <v>2020</v>
      </c>
      <c r="B170" s="59"/>
      <c r="C170" s="59"/>
      <c r="D170" s="59">
        <v>46.55</v>
      </c>
      <c r="E170" s="59">
        <v>3876.5440717010897</v>
      </c>
    </row>
    <row r="171" spans="1:6" x14ac:dyDescent="0.2">
      <c r="A171" s="58">
        <v>2021</v>
      </c>
      <c r="B171" s="59"/>
      <c r="C171" s="59"/>
      <c r="D171" s="59">
        <v>46.55</v>
      </c>
      <c r="E171" s="59">
        <v>3919.9721857004556</v>
      </c>
    </row>
    <row r="172" spans="1:6" ht="13.5" thickBot="1" x14ac:dyDescent="0.25">
      <c r="A172" s="58">
        <v>2022</v>
      </c>
      <c r="B172" s="142"/>
      <c r="C172" s="142"/>
      <c r="D172" s="142">
        <v>46.55</v>
      </c>
      <c r="E172" s="142">
        <v>3971.3363813333303</v>
      </c>
    </row>
    <row r="173" spans="1:6" ht="13.5" thickTop="1" x14ac:dyDescent="0.2">
      <c r="A173" s="58">
        <v>2023</v>
      </c>
      <c r="B173" s="59">
        <v>4070.9630000000002</v>
      </c>
      <c r="C173" s="59">
        <v>230.06290983784552</v>
      </c>
      <c r="D173" s="59">
        <v>75.926590162154497</v>
      </c>
      <c r="E173" s="59">
        <v>4376.9525000000003</v>
      </c>
      <c r="F173" s="60"/>
    </row>
    <row r="174" spans="1:6" x14ac:dyDescent="0.2">
      <c r="A174" s="62">
        <v>2024</v>
      </c>
      <c r="B174" s="63">
        <v>4409.482</v>
      </c>
      <c r="C174" s="63">
        <v>227.92219180365453</v>
      </c>
      <c r="D174" s="63">
        <v>78.776308196345497</v>
      </c>
      <c r="E174" s="63">
        <v>4716.1805000000004</v>
      </c>
      <c r="F174" s="60"/>
    </row>
    <row r="175" spans="1:6" x14ac:dyDescent="0.2">
      <c r="A175" s="140" t="s">
        <v>291</v>
      </c>
      <c r="B175" s="75"/>
      <c r="C175" s="75"/>
      <c r="D175" s="75"/>
      <c r="E175" s="75"/>
    </row>
    <row r="178" spans="1:10" x14ac:dyDescent="0.2">
      <c r="A178" s="58" t="s">
        <v>250</v>
      </c>
    </row>
    <row r="179" spans="1:10" x14ac:dyDescent="0.2">
      <c r="A179" s="138"/>
      <c r="B179" s="72" t="s">
        <v>20</v>
      </c>
      <c r="C179" s="72" t="s">
        <v>21</v>
      </c>
      <c r="D179" s="72" t="s">
        <v>22</v>
      </c>
      <c r="E179" s="72" t="s">
        <v>23</v>
      </c>
      <c r="F179" s="72" t="s">
        <v>24</v>
      </c>
      <c r="G179" s="72" t="s">
        <v>25</v>
      </c>
      <c r="H179" s="72" t="s">
        <v>26</v>
      </c>
      <c r="I179" s="72" t="s">
        <v>93</v>
      </c>
      <c r="J179" s="72" t="s">
        <v>17</v>
      </c>
    </row>
    <row r="180" spans="1:10" x14ac:dyDescent="0.2">
      <c r="A180" s="117"/>
      <c r="B180" s="193" t="s">
        <v>36</v>
      </c>
      <c r="C180" s="193"/>
      <c r="D180" s="193"/>
      <c r="E180" s="193"/>
      <c r="F180" s="193"/>
      <c r="G180" s="193"/>
      <c r="H180" s="193"/>
      <c r="I180" s="193"/>
      <c r="J180" s="193"/>
    </row>
    <row r="181" spans="1:10" x14ac:dyDescent="0.2">
      <c r="A181" s="72">
        <v>2023</v>
      </c>
      <c r="B181" s="141">
        <v>188639</v>
      </c>
      <c r="C181" s="141">
        <v>135102</v>
      </c>
      <c r="D181" s="141">
        <v>183146</v>
      </c>
      <c r="E181" s="141">
        <v>96118</v>
      </c>
      <c r="F181" s="141">
        <v>186396</v>
      </c>
      <c r="G181" s="141">
        <v>28849</v>
      </c>
      <c r="H181" s="141">
        <v>39848</v>
      </c>
      <c r="I181" s="141"/>
      <c r="J181" s="141"/>
    </row>
    <row r="182" spans="1:10" x14ac:dyDescent="0.2">
      <c r="A182" s="62">
        <v>2024</v>
      </c>
      <c r="B182" s="63">
        <v>198090.397</v>
      </c>
      <c r="C182" s="63">
        <v>134912.13</v>
      </c>
      <c r="D182" s="63">
        <v>194871.84099999999</v>
      </c>
      <c r="E182" s="63">
        <v>99205.369000000006</v>
      </c>
      <c r="F182" s="63">
        <v>196693.27299999999</v>
      </c>
      <c r="G182" s="63">
        <v>30641.499</v>
      </c>
      <c r="H182" s="63">
        <v>43162.873</v>
      </c>
      <c r="I182" s="63">
        <v>1956.8589999999999</v>
      </c>
      <c r="J182" s="63">
        <v>899534.24100000004</v>
      </c>
    </row>
    <row r="183" spans="1:10" x14ac:dyDescent="0.2">
      <c r="A183" s="58" t="s">
        <v>302</v>
      </c>
      <c r="B183" s="59"/>
      <c r="C183" s="59"/>
      <c r="D183" s="59"/>
      <c r="E183" s="59"/>
      <c r="F183" s="59"/>
      <c r="G183" s="59"/>
      <c r="H183" s="59"/>
      <c r="I183" s="59"/>
      <c r="J183" s="59"/>
    </row>
    <row r="184" spans="1:10" x14ac:dyDescent="0.2">
      <c r="A184" s="58" t="s">
        <v>301</v>
      </c>
    </row>
    <row r="186" spans="1:10" x14ac:dyDescent="0.2">
      <c r="A186" s="71" t="s">
        <v>251</v>
      </c>
      <c r="C186" s="71"/>
      <c r="D186" s="71"/>
      <c r="E186" s="71"/>
      <c r="F186" s="71"/>
    </row>
    <row r="187" spans="1:10" ht="25.5" x14ac:dyDescent="0.2">
      <c r="A187" s="72"/>
      <c r="B187" s="73" t="s">
        <v>35</v>
      </c>
      <c r="C187" s="73" t="s">
        <v>294</v>
      </c>
      <c r="D187" s="73" t="s">
        <v>220</v>
      </c>
      <c r="E187" s="73" t="s">
        <v>206</v>
      </c>
    </row>
    <row r="188" spans="1:10" x14ac:dyDescent="0.2">
      <c r="A188" s="62" t="s">
        <v>193</v>
      </c>
      <c r="B188" s="194" t="s">
        <v>207</v>
      </c>
      <c r="C188" s="194"/>
      <c r="D188" s="194"/>
      <c r="E188" s="194"/>
    </row>
    <row r="189" spans="1:10" x14ac:dyDescent="0.2">
      <c r="A189" s="71">
        <v>1975</v>
      </c>
      <c r="B189" s="59"/>
      <c r="C189" s="59"/>
      <c r="D189" s="59">
        <v>1909.8</v>
      </c>
      <c r="E189" s="59">
        <v>463976.68839000177</v>
      </c>
    </row>
    <row r="190" spans="1:10" x14ac:dyDescent="0.2">
      <c r="A190" s="71">
        <v>1976</v>
      </c>
      <c r="B190" s="59"/>
      <c r="C190" s="59"/>
      <c r="D190" s="59">
        <v>2225.7999999999997</v>
      </c>
      <c r="E190" s="59">
        <v>474815.76072303619</v>
      </c>
    </row>
    <row r="191" spans="1:10" x14ac:dyDescent="0.2">
      <c r="A191" s="71">
        <v>1977</v>
      </c>
      <c r="B191" s="59"/>
      <c r="C191" s="59"/>
      <c r="D191" s="59">
        <v>2391.7999999999997</v>
      </c>
      <c r="E191" s="59">
        <v>485605.62989443605</v>
      </c>
    </row>
    <row r="192" spans="1:10" x14ac:dyDescent="0.2">
      <c r="A192" s="71">
        <v>1978</v>
      </c>
      <c r="B192" s="59"/>
      <c r="C192" s="59"/>
      <c r="D192" s="59">
        <v>2549.7999999999997</v>
      </c>
      <c r="E192" s="59">
        <v>494463.34085876623</v>
      </c>
    </row>
    <row r="193" spans="1:5" x14ac:dyDescent="0.2">
      <c r="A193" s="71">
        <v>1979</v>
      </c>
      <c r="B193" s="59"/>
      <c r="C193" s="59"/>
      <c r="D193" s="59">
        <v>2858.7999999999997</v>
      </c>
      <c r="E193" s="59">
        <v>503503.57140697096</v>
      </c>
    </row>
    <row r="194" spans="1:5" x14ac:dyDescent="0.2">
      <c r="A194" s="71">
        <v>1980</v>
      </c>
      <c r="B194" s="59"/>
      <c r="C194" s="59"/>
      <c r="D194" s="59">
        <v>3084.7999999999997</v>
      </c>
      <c r="E194" s="59">
        <v>515401.90490911889</v>
      </c>
    </row>
    <row r="195" spans="1:5" x14ac:dyDescent="0.2">
      <c r="A195" s="71">
        <v>1981</v>
      </c>
      <c r="B195" s="59"/>
      <c r="C195" s="59"/>
      <c r="D195" s="59">
        <v>3120.7999999999997</v>
      </c>
      <c r="E195" s="59">
        <v>530759.87496446318</v>
      </c>
    </row>
    <row r="196" spans="1:5" x14ac:dyDescent="0.2">
      <c r="A196" s="71">
        <v>1982</v>
      </c>
      <c r="B196" s="59"/>
      <c r="C196" s="59"/>
      <c r="D196" s="59">
        <v>3316.8</v>
      </c>
      <c r="E196" s="59">
        <v>541008.33228052477</v>
      </c>
    </row>
    <row r="197" spans="1:5" x14ac:dyDescent="0.2">
      <c r="A197" s="71">
        <v>1983</v>
      </c>
      <c r="B197" s="59"/>
      <c r="C197" s="59"/>
      <c r="D197" s="59">
        <v>3468.8</v>
      </c>
      <c r="E197" s="59">
        <v>549511.60481620545</v>
      </c>
    </row>
    <row r="198" spans="1:5" x14ac:dyDescent="0.2">
      <c r="A198" s="71">
        <v>1984</v>
      </c>
      <c r="B198" s="59"/>
      <c r="C198" s="59"/>
      <c r="D198" s="59">
        <v>3606.3</v>
      </c>
      <c r="E198" s="59">
        <v>558628.94849791483</v>
      </c>
    </row>
    <row r="199" spans="1:5" x14ac:dyDescent="0.2">
      <c r="A199" s="71">
        <v>1985</v>
      </c>
      <c r="B199" s="59"/>
      <c r="C199" s="59"/>
      <c r="D199" s="59">
        <v>3842.3</v>
      </c>
      <c r="E199" s="59">
        <v>568027.10688588419</v>
      </c>
    </row>
    <row r="200" spans="1:5" x14ac:dyDescent="0.2">
      <c r="A200" s="71">
        <v>1986</v>
      </c>
      <c r="B200" s="59"/>
      <c r="C200" s="59"/>
      <c r="D200" s="59">
        <v>3938.7</v>
      </c>
      <c r="E200" s="59">
        <v>577966.85153702693</v>
      </c>
    </row>
    <row r="201" spans="1:5" x14ac:dyDescent="0.2">
      <c r="A201" s="71">
        <v>1987</v>
      </c>
      <c r="B201" s="59"/>
      <c r="C201" s="59"/>
      <c r="D201" s="59">
        <v>4358.7</v>
      </c>
      <c r="E201" s="59">
        <v>586622.0900298151</v>
      </c>
    </row>
    <row r="202" spans="1:5" x14ac:dyDescent="0.2">
      <c r="A202" s="71">
        <v>1988</v>
      </c>
      <c r="B202" s="59"/>
      <c r="C202" s="59"/>
      <c r="D202" s="59">
        <v>4572.7</v>
      </c>
      <c r="E202" s="59">
        <v>594988.68053589214</v>
      </c>
    </row>
    <row r="203" spans="1:5" x14ac:dyDescent="0.2">
      <c r="A203" s="71">
        <v>1989</v>
      </c>
      <c r="B203" s="59"/>
      <c r="C203" s="59"/>
      <c r="D203" s="59">
        <v>5125.5</v>
      </c>
      <c r="E203" s="59">
        <v>601940.41816823091</v>
      </c>
    </row>
    <row r="204" spans="1:5" x14ac:dyDescent="0.2">
      <c r="A204" s="71">
        <v>1990</v>
      </c>
      <c r="B204" s="59"/>
      <c r="C204" s="59"/>
      <c r="D204" s="59">
        <v>5439.5</v>
      </c>
      <c r="E204" s="59">
        <v>610580.65876115963</v>
      </c>
    </row>
    <row r="205" spans="1:5" x14ac:dyDescent="0.2">
      <c r="A205" s="71">
        <v>1991</v>
      </c>
      <c r="B205" s="59"/>
      <c r="C205" s="59"/>
      <c r="D205" s="59">
        <v>5505.5</v>
      </c>
      <c r="E205" s="59">
        <v>617727.04069082439</v>
      </c>
    </row>
    <row r="206" spans="1:5" x14ac:dyDescent="0.2">
      <c r="A206" s="71">
        <v>1992</v>
      </c>
      <c r="B206" s="59"/>
      <c r="C206" s="59"/>
      <c r="D206" s="59">
        <v>5881.1</v>
      </c>
      <c r="E206" s="59">
        <v>625045.66000821779</v>
      </c>
    </row>
    <row r="207" spans="1:5" x14ac:dyDescent="0.2">
      <c r="A207" s="71">
        <v>1993</v>
      </c>
      <c r="B207" s="59"/>
      <c r="C207" s="59"/>
      <c r="D207" s="59">
        <v>6244.7</v>
      </c>
      <c r="E207" s="59">
        <v>634001.3481660845</v>
      </c>
    </row>
    <row r="208" spans="1:5" x14ac:dyDescent="0.2">
      <c r="A208" s="71">
        <v>1994</v>
      </c>
      <c r="B208" s="59"/>
      <c r="C208" s="59"/>
      <c r="D208" s="59">
        <v>6647.5</v>
      </c>
      <c r="E208" s="59">
        <v>643458.76528421883</v>
      </c>
    </row>
    <row r="209" spans="1:5" x14ac:dyDescent="0.2">
      <c r="A209" s="71">
        <v>1995</v>
      </c>
      <c r="B209" s="59"/>
      <c r="C209" s="59"/>
      <c r="D209" s="59">
        <v>7557.1400000000012</v>
      </c>
      <c r="E209" s="59">
        <v>653279.06227928214</v>
      </c>
    </row>
    <row r="210" spans="1:5" x14ac:dyDescent="0.2">
      <c r="A210" s="71">
        <v>1996</v>
      </c>
      <c r="B210" s="59"/>
      <c r="C210" s="59"/>
      <c r="D210" s="59">
        <v>7819.5400000000009</v>
      </c>
      <c r="E210" s="59">
        <v>660443.99511107733</v>
      </c>
    </row>
    <row r="211" spans="1:5" x14ac:dyDescent="0.2">
      <c r="A211" s="71">
        <v>1997</v>
      </c>
      <c r="B211" s="59"/>
      <c r="C211" s="59"/>
      <c r="D211" s="59">
        <v>8008.74</v>
      </c>
      <c r="E211" s="59">
        <v>670288.57060198369</v>
      </c>
    </row>
    <row r="212" spans="1:5" x14ac:dyDescent="0.2">
      <c r="A212" s="71">
        <v>1998</v>
      </c>
      <c r="B212" s="59"/>
      <c r="C212" s="59"/>
      <c r="D212" s="59">
        <v>8211.74</v>
      </c>
      <c r="E212" s="59">
        <v>676369.79456973076</v>
      </c>
    </row>
    <row r="213" spans="1:5" x14ac:dyDescent="0.2">
      <c r="A213" s="71">
        <v>1999</v>
      </c>
      <c r="B213" s="59"/>
      <c r="C213" s="59"/>
      <c r="D213" s="59">
        <v>8416.1400000000012</v>
      </c>
      <c r="E213" s="59">
        <v>684289.37948240608</v>
      </c>
    </row>
    <row r="214" spans="1:5" x14ac:dyDescent="0.2">
      <c r="A214" s="71">
        <v>2000</v>
      </c>
      <c r="B214" s="59"/>
      <c r="C214" s="59"/>
      <c r="D214" s="59">
        <v>8767.1400000000012</v>
      </c>
      <c r="E214" s="59">
        <v>688291.69556341588</v>
      </c>
    </row>
    <row r="215" spans="1:5" x14ac:dyDescent="0.2">
      <c r="A215" s="71">
        <v>2001</v>
      </c>
      <c r="B215" s="59"/>
      <c r="C215" s="59"/>
      <c r="D215" s="59">
        <v>9139.2400000000016</v>
      </c>
      <c r="E215" s="59">
        <v>698078.12375332008</v>
      </c>
    </row>
    <row r="216" spans="1:5" x14ac:dyDescent="0.2">
      <c r="A216" s="71">
        <v>2002</v>
      </c>
      <c r="B216" s="59"/>
      <c r="C216" s="59"/>
      <c r="D216" s="59">
        <v>9375.6400000000031</v>
      </c>
      <c r="E216" s="59">
        <v>703038.05061771977</v>
      </c>
    </row>
    <row r="217" spans="1:5" x14ac:dyDescent="0.2">
      <c r="A217" s="71">
        <v>2003</v>
      </c>
      <c r="B217" s="59"/>
      <c r="C217" s="59"/>
      <c r="D217" s="59">
        <v>9826.0400000000009</v>
      </c>
      <c r="E217" s="59">
        <v>707351.89787837979</v>
      </c>
    </row>
    <row r="218" spans="1:5" x14ac:dyDescent="0.2">
      <c r="A218" s="71">
        <v>2004</v>
      </c>
      <c r="B218" s="59"/>
      <c r="C218" s="59"/>
      <c r="D218" s="59">
        <v>9894.0400000000009</v>
      </c>
      <c r="E218" s="59">
        <v>716754.40232220385</v>
      </c>
    </row>
    <row r="219" spans="1:5" x14ac:dyDescent="0.2">
      <c r="A219" s="71">
        <v>2005</v>
      </c>
      <c r="B219" s="59"/>
      <c r="C219" s="59"/>
      <c r="D219" s="59">
        <v>9982.840000000002</v>
      </c>
      <c r="E219" s="59">
        <v>724374.73936246173</v>
      </c>
    </row>
    <row r="220" spans="1:5" x14ac:dyDescent="0.2">
      <c r="A220" s="71">
        <v>2006</v>
      </c>
      <c r="B220" s="59"/>
      <c r="C220" s="59"/>
      <c r="D220" s="59">
        <v>10269.640000000001</v>
      </c>
      <c r="E220" s="59">
        <v>730271.06147472898</v>
      </c>
    </row>
    <row r="221" spans="1:5" x14ac:dyDescent="0.2">
      <c r="A221" s="71">
        <v>2007</v>
      </c>
      <c r="B221" s="59"/>
      <c r="C221" s="59"/>
      <c r="D221" s="59">
        <v>10398.840000000002</v>
      </c>
      <c r="E221" s="59">
        <v>741101.42977537191</v>
      </c>
    </row>
    <row r="222" spans="1:5" x14ac:dyDescent="0.2">
      <c r="A222" s="71">
        <v>2008</v>
      </c>
      <c r="B222" s="59"/>
      <c r="C222" s="59"/>
      <c r="D222" s="59">
        <v>10651.240000000002</v>
      </c>
      <c r="E222" s="59">
        <v>746201.91669950332</v>
      </c>
    </row>
    <row r="223" spans="1:5" x14ac:dyDescent="0.2">
      <c r="A223" s="71">
        <v>2009</v>
      </c>
      <c r="B223" s="59"/>
      <c r="C223" s="59"/>
      <c r="D223" s="59">
        <v>11436.440000000002</v>
      </c>
      <c r="E223" s="59">
        <v>757582.81076801266</v>
      </c>
    </row>
    <row r="224" spans="1:5" x14ac:dyDescent="0.2">
      <c r="A224" s="71">
        <v>2010</v>
      </c>
      <c r="B224" s="59"/>
      <c r="C224" s="59"/>
      <c r="D224" s="59">
        <v>11785.640000000001</v>
      </c>
      <c r="E224" s="59">
        <v>764219.00122511876</v>
      </c>
    </row>
    <row r="225" spans="1:5" x14ac:dyDescent="0.2">
      <c r="A225" s="71">
        <v>2011</v>
      </c>
      <c r="B225" s="59"/>
      <c r="C225" s="59"/>
      <c r="D225" s="59">
        <v>12137.640000000001</v>
      </c>
      <c r="E225" s="59">
        <v>774215.41686823405</v>
      </c>
    </row>
    <row r="226" spans="1:5" x14ac:dyDescent="0.2">
      <c r="A226" s="71">
        <v>2012</v>
      </c>
      <c r="B226" s="59"/>
      <c r="C226" s="59"/>
      <c r="D226" s="59">
        <v>12273.640000000001</v>
      </c>
      <c r="E226" s="59">
        <v>784181.09185490012</v>
      </c>
    </row>
    <row r="227" spans="1:5" x14ac:dyDescent="0.2">
      <c r="A227" s="71">
        <v>2013</v>
      </c>
      <c r="B227" s="59"/>
      <c r="C227" s="59"/>
      <c r="D227" s="59">
        <v>12732.44</v>
      </c>
      <c r="E227" s="59">
        <v>794184.73103886936</v>
      </c>
    </row>
    <row r="228" spans="1:5" x14ac:dyDescent="0.2">
      <c r="A228" s="71">
        <v>2014</v>
      </c>
      <c r="B228" s="59"/>
      <c r="C228" s="59"/>
      <c r="D228" s="59">
        <v>13056.24</v>
      </c>
      <c r="E228" s="59">
        <v>804118.31109194388</v>
      </c>
    </row>
    <row r="229" spans="1:5" x14ac:dyDescent="0.2">
      <c r="A229" s="71">
        <v>2015</v>
      </c>
      <c r="B229" s="59"/>
      <c r="C229" s="59"/>
      <c r="D229" s="59">
        <v>13322.24</v>
      </c>
      <c r="E229" s="59">
        <v>813944.06243144732</v>
      </c>
    </row>
    <row r="230" spans="1:5" x14ac:dyDescent="0.2">
      <c r="A230" s="71">
        <v>2016</v>
      </c>
      <c r="B230" s="59"/>
      <c r="C230" s="59"/>
      <c r="D230" s="59">
        <v>13850.24</v>
      </c>
      <c r="E230" s="59">
        <v>823983.76429796545</v>
      </c>
    </row>
    <row r="231" spans="1:5" ht="12" customHeight="1" x14ac:dyDescent="0.2">
      <c r="A231" s="71">
        <v>2017</v>
      </c>
      <c r="B231" s="59"/>
      <c r="C231" s="59"/>
      <c r="D231" s="59">
        <v>14342.24</v>
      </c>
      <c r="E231" s="59">
        <v>833957.37555483019</v>
      </c>
    </row>
    <row r="232" spans="1:5" ht="12" customHeight="1" x14ac:dyDescent="0.2">
      <c r="A232" s="71">
        <v>2018</v>
      </c>
      <c r="B232" s="59"/>
      <c r="C232" s="59"/>
      <c r="D232" s="59">
        <v>14513.04</v>
      </c>
      <c r="E232" s="59">
        <v>843824.37294538878</v>
      </c>
    </row>
    <row r="233" spans="1:5" x14ac:dyDescent="0.2">
      <c r="A233" s="71">
        <v>2019</v>
      </c>
      <c r="B233" s="59"/>
      <c r="C233" s="59"/>
      <c r="D233" s="59">
        <v>14898.64</v>
      </c>
      <c r="E233" s="59">
        <v>853790.07275028713</v>
      </c>
    </row>
    <row r="234" spans="1:5" x14ac:dyDescent="0.2">
      <c r="A234" s="71">
        <v>2020</v>
      </c>
      <c r="B234" s="59"/>
      <c r="C234" s="59"/>
      <c r="D234" s="59">
        <v>15179.24</v>
      </c>
      <c r="E234" s="59">
        <v>863796.42493375379</v>
      </c>
    </row>
    <row r="235" spans="1:5" x14ac:dyDescent="0.2">
      <c r="A235" s="71">
        <v>2021</v>
      </c>
      <c r="B235" s="59"/>
      <c r="C235" s="59"/>
      <c r="D235" s="59">
        <v>15260.44</v>
      </c>
      <c r="E235" s="59">
        <v>872835.72106932756</v>
      </c>
    </row>
    <row r="236" spans="1:5" ht="13.5" thickBot="1" x14ac:dyDescent="0.25">
      <c r="A236" s="71">
        <v>2022</v>
      </c>
      <c r="B236" s="142"/>
      <c r="C236" s="142"/>
      <c r="D236" s="142">
        <v>15316.44</v>
      </c>
      <c r="E236" s="142">
        <v>884424.95809549326</v>
      </c>
    </row>
    <row r="237" spans="1:5" ht="13.5" thickTop="1" x14ac:dyDescent="0.2">
      <c r="A237" s="71">
        <v>2023</v>
      </c>
      <c r="B237" s="59">
        <v>897393.03600000008</v>
      </c>
      <c r="C237" s="59">
        <v>32992.19</v>
      </c>
      <c r="D237" s="59">
        <v>19540.060000000001</v>
      </c>
      <c r="E237" s="59">
        <v>949925.28600000008</v>
      </c>
    </row>
    <row r="238" spans="1:5" x14ac:dyDescent="0.2">
      <c r="A238" s="74">
        <v>2024</v>
      </c>
      <c r="B238" s="63">
        <v>964220.59099999978</v>
      </c>
      <c r="C238" s="63">
        <v>33254.184537953653</v>
      </c>
      <c r="D238" s="63">
        <v>20336.858462046344</v>
      </c>
      <c r="E238" s="63">
        <v>1017811.6339999997</v>
      </c>
    </row>
    <row r="239" spans="1:5" x14ac:dyDescent="0.2">
      <c r="A239" s="117" t="s">
        <v>37</v>
      </c>
    </row>
    <row r="240" spans="1:5" x14ac:dyDescent="0.2">
      <c r="A240" s="58" t="s">
        <v>289</v>
      </c>
      <c r="B240" s="75"/>
      <c r="C240" s="75"/>
      <c r="D240" s="75"/>
      <c r="E240" s="75"/>
    </row>
    <row r="241" spans="1:5" x14ac:dyDescent="0.2">
      <c r="B241" s="75"/>
      <c r="C241" s="75"/>
      <c r="D241" s="75"/>
      <c r="E241" s="75"/>
    </row>
    <row r="243" spans="1:5" x14ac:dyDescent="0.2">
      <c r="A243" s="75" t="s">
        <v>284</v>
      </c>
    </row>
    <row r="244" spans="1:5" ht="25.5" customHeight="1" x14ac:dyDescent="0.2">
      <c r="A244" s="72"/>
      <c r="B244" s="73" t="s">
        <v>35</v>
      </c>
      <c r="C244" s="73" t="s">
        <v>294</v>
      </c>
      <c r="D244" s="73" t="s">
        <v>220</v>
      </c>
      <c r="E244" s="73" t="s">
        <v>206</v>
      </c>
    </row>
    <row r="245" spans="1:5" x14ac:dyDescent="0.2">
      <c r="A245" s="62" t="s">
        <v>193</v>
      </c>
      <c r="B245" s="194" t="s">
        <v>207</v>
      </c>
      <c r="C245" s="194"/>
      <c r="D245" s="194"/>
      <c r="E245" s="194"/>
    </row>
    <row r="246" spans="1:5" x14ac:dyDescent="0.2">
      <c r="A246" s="58" t="s">
        <v>9</v>
      </c>
    </row>
    <row r="247" spans="1:5" x14ac:dyDescent="0.2">
      <c r="A247" s="58">
        <v>2012</v>
      </c>
      <c r="B247" s="59"/>
      <c r="C247" s="59"/>
      <c r="D247" s="59">
        <v>4205.1400000000003</v>
      </c>
      <c r="E247" s="59">
        <v>206118.86010979925</v>
      </c>
    </row>
    <row r="248" spans="1:5" x14ac:dyDescent="0.2">
      <c r="A248" s="58">
        <v>2013</v>
      </c>
      <c r="B248" s="59"/>
      <c r="C248" s="59"/>
      <c r="D248" s="59">
        <v>4425.1399999999994</v>
      </c>
      <c r="E248" s="59">
        <v>207863.07492338208</v>
      </c>
    </row>
    <row r="249" spans="1:5" x14ac:dyDescent="0.2">
      <c r="A249" s="58">
        <v>2014</v>
      </c>
      <c r="B249" s="59"/>
      <c r="C249" s="59"/>
      <c r="D249" s="59">
        <v>4599.1399999999994</v>
      </c>
      <c r="E249" s="59">
        <v>209535.21338139771</v>
      </c>
    </row>
    <row r="250" spans="1:5" x14ac:dyDescent="0.2">
      <c r="A250" s="58">
        <v>2015</v>
      </c>
      <c r="B250" s="59"/>
      <c r="C250" s="59"/>
      <c r="D250" s="59">
        <v>4599.1399999999994</v>
      </c>
      <c r="E250" s="59">
        <v>211097.66414204118</v>
      </c>
    </row>
    <row r="251" spans="1:5" x14ac:dyDescent="0.2">
      <c r="A251" s="58">
        <v>2016</v>
      </c>
      <c r="B251" s="59"/>
      <c r="C251" s="59"/>
      <c r="D251" s="59">
        <v>4825.1399999999994</v>
      </c>
      <c r="E251" s="59">
        <v>212830.93533593108</v>
      </c>
    </row>
    <row r="252" spans="1:5" x14ac:dyDescent="0.2">
      <c r="A252" s="58">
        <v>2017</v>
      </c>
      <c r="B252" s="59"/>
      <c r="C252" s="59"/>
      <c r="D252" s="59">
        <v>5141.1399999999994</v>
      </c>
      <c r="E252" s="59">
        <v>214487.8495952232</v>
      </c>
    </row>
    <row r="253" spans="1:5" x14ac:dyDescent="0.2">
      <c r="A253" s="58">
        <v>2018</v>
      </c>
      <c r="B253" s="59"/>
      <c r="C253" s="59"/>
      <c r="D253" s="59">
        <v>5141.1399999999994</v>
      </c>
      <c r="E253" s="59">
        <v>216037.3203442985</v>
      </c>
    </row>
    <row r="254" spans="1:5" x14ac:dyDescent="0.2">
      <c r="A254" s="58">
        <v>2019</v>
      </c>
      <c r="B254" s="59"/>
      <c r="C254" s="59"/>
      <c r="D254" s="59">
        <v>5141.1399999999994</v>
      </c>
      <c r="E254" s="59">
        <v>217616.9751143076</v>
      </c>
    </row>
    <row r="255" spans="1:5" x14ac:dyDescent="0.2">
      <c r="A255" s="58">
        <v>2020</v>
      </c>
      <c r="B255" s="59"/>
      <c r="C255" s="59"/>
      <c r="D255" s="59">
        <v>5181.1399999999994</v>
      </c>
      <c r="E255" s="59">
        <v>219209.92679765291</v>
      </c>
    </row>
    <row r="256" spans="1:5" x14ac:dyDescent="0.2">
      <c r="A256" s="58">
        <v>2021</v>
      </c>
      <c r="B256" s="59"/>
      <c r="C256" s="59"/>
      <c r="D256" s="59">
        <v>5221.1399999999994</v>
      </c>
      <c r="E256" s="59">
        <v>220508.68035911693</v>
      </c>
    </row>
    <row r="257" spans="1:6" ht="13.5" thickBot="1" x14ac:dyDescent="0.25">
      <c r="A257" s="58">
        <v>2022</v>
      </c>
      <c r="B257" s="142"/>
      <c r="C257" s="142"/>
      <c r="D257" s="142">
        <v>5221.1399999999994</v>
      </c>
      <c r="E257" s="142">
        <v>222427.58473432448</v>
      </c>
    </row>
    <row r="258" spans="1:6" ht="13.5" thickTop="1" x14ac:dyDescent="0.2">
      <c r="A258" s="58">
        <v>2023</v>
      </c>
      <c r="B258" s="184">
        <v>232988.34200000003</v>
      </c>
      <c r="C258" s="184">
        <v>7681.9561920132392</v>
      </c>
      <c r="D258" s="59">
        <v>7937.45930798676</v>
      </c>
      <c r="E258" s="59">
        <v>248607.75750000004</v>
      </c>
      <c r="F258" s="59"/>
    </row>
    <row r="259" spans="1:6" x14ac:dyDescent="0.2">
      <c r="A259" s="58">
        <v>2024</v>
      </c>
      <c r="B259" s="59">
        <v>237343.45199999999</v>
      </c>
      <c r="C259" s="59">
        <v>7625.9064490540195</v>
      </c>
      <c r="D259" s="59">
        <v>8102.1885509459798</v>
      </c>
      <c r="E259" s="59">
        <v>253071.54699999999</v>
      </c>
      <c r="F259" s="59"/>
    </row>
    <row r="260" spans="1:6" x14ac:dyDescent="0.2">
      <c r="A260" s="58" t="s">
        <v>10</v>
      </c>
      <c r="B260" s="59"/>
      <c r="C260" s="59"/>
      <c r="D260" s="59"/>
      <c r="E260" s="59"/>
    </row>
    <row r="261" spans="1:6" x14ac:dyDescent="0.2">
      <c r="A261" s="58">
        <v>2012</v>
      </c>
      <c r="B261" s="59"/>
      <c r="C261" s="59"/>
      <c r="D261" s="59">
        <v>4474.4000000000015</v>
      </c>
      <c r="E261" s="59">
        <v>167978.78420698154</v>
      </c>
    </row>
    <row r="262" spans="1:6" x14ac:dyDescent="0.2">
      <c r="A262" s="58">
        <v>2013</v>
      </c>
      <c r="B262" s="59"/>
      <c r="C262" s="59"/>
      <c r="D262" s="59">
        <v>4622.4000000000015</v>
      </c>
      <c r="E262" s="59">
        <v>170190.60784157811</v>
      </c>
    </row>
    <row r="263" spans="1:6" x14ac:dyDescent="0.2">
      <c r="A263" s="58">
        <v>2014</v>
      </c>
      <c r="B263" s="59"/>
      <c r="C263" s="59"/>
      <c r="D263" s="59">
        <v>4728.4000000000005</v>
      </c>
      <c r="E263" s="59">
        <v>172467.3939952061</v>
      </c>
    </row>
    <row r="264" spans="1:6" x14ac:dyDescent="0.2">
      <c r="A264" s="58">
        <v>2015</v>
      </c>
      <c r="B264" s="59"/>
      <c r="C264" s="59"/>
      <c r="D264" s="59">
        <v>4912.4000000000015</v>
      </c>
      <c r="E264" s="59">
        <v>174660.39252258948</v>
      </c>
    </row>
    <row r="265" spans="1:6" x14ac:dyDescent="0.2">
      <c r="A265" s="58">
        <v>2016</v>
      </c>
      <c r="B265" s="59"/>
      <c r="C265" s="59"/>
      <c r="D265" s="59">
        <v>5088.4000000000015</v>
      </c>
      <c r="E265" s="59">
        <v>176877.52868764973</v>
      </c>
    </row>
    <row r="266" spans="1:6" x14ac:dyDescent="0.2">
      <c r="A266" s="58">
        <v>2017</v>
      </c>
      <c r="B266" s="59"/>
      <c r="C266" s="59"/>
      <c r="D266" s="59">
        <v>5088.4000000000015</v>
      </c>
      <c r="E266" s="59">
        <v>179101.39212747407</v>
      </c>
    </row>
    <row r="267" spans="1:6" x14ac:dyDescent="0.2">
      <c r="A267" s="58">
        <v>2018</v>
      </c>
      <c r="B267" s="59"/>
      <c r="C267" s="59"/>
      <c r="D267" s="59">
        <v>5182.4000000000015</v>
      </c>
      <c r="E267" s="59">
        <v>181383.52382175549</v>
      </c>
    </row>
    <row r="268" spans="1:6" x14ac:dyDescent="0.2">
      <c r="A268" s="58">
        <v>2019</v>
      </c>
      <c r="B268" s="59"/>
      <c r="C268" s="59"/>
      <c r="D268" s="59">
        <v>5330.4000000000015</v>
      </c>
      <c r="E268" s="59">
        <v>183607.85092714321</v>
      </c>
    </row>
    <row r="269" spans="1:6" x14ac:dyDescent="0.2">
      <c r="A269" s="58">
        <v>2020</v>
      </c>
      <c r="B269" s="59"/>
      <c r="C269" s="59"/>
      <c r="D269" s="59">
        <v>5330.4000000000015</v>
      </c>
      <c r="E269" s="59">
        <v>185834.41791734655</v>
      </c>
    </row>
    <row r="270" spans="1:6" x14ac:dyDescent="0.2">
      <c r="A270" s="58">
        <v>2021</v>
      </c>
      <c r="B270" s="59"/>
      <c r="C270" s="59"/>
      <c r="D270" s="59">
        <v>5346.4000000000015</v>
      </c>
      <c r="E270" s="59">
        <v>187871.14893384973</v>
      </c>
    </row>
    <row r="271" spans="1:6" ht="13.5" thickBot="1" x14ac:dyDescent="0.25">
      <c r="A271" s="58">
        <v>2022</v>
      </c>
      <c r="B271" s="142"/>
      <c r="C271" s="142"/>
      <c r="D271" s="142">
        <v>5382.4000000000015</v>
      </c>
      <c r="E271" s="142">
        <v>190457.70384643739</v>
      </c>
    </row>
    <row r="272" spans="1:6" ht="13.5" thickTop="1" x14ac:dyDescent="0.2">
      <c r="A272" s="58">
        <v>2023</v>
      </c>
      <c r="B272" s="59">
        <v>187739.133999999</v>
      </c>
      <c r="C272" s="59">
        <v>8535.1138348929599</v>
      </c>
      <c r="D272" s="59">
        <v>5586.9356651070402</v>
      </c>
      <c r="E272" s="59">
        <v>201861.183499999</v>
      </c>
      <c r="F272" s="59"/>
    </row>
    <row r="273" spans="1:6" x14ac:dyDescent="0.2">
      <c r="A273" s="58">
        <v>2024</v>
      </c>
      <c r="B273" s="59">
        <v>189373.58600000001</v>
      </c>
      <c r="C273" s="59">
        <v>8808.4308944763197</v>
      </c>
      <c r="D273" s="59">
        <v>5625.8791055236798</v>
      </c>
      <c r="E273" s="59">
        <v>203807.89600000001</v>
      </c>
      <c r="F273" s="59"/>
    </row>
    <row r="274" spans="1:6" x14ac:dyDescent="0.2">
      <c r="A274" s="58" t="s">
        <v>11</v>
      </c>
      <c r="B274" s="59"/>
      <c r="C274" s="59"/>
      <c r="D274" s="59"/>
      <c r="E274" s="59"/>
    </row>
    <row r="275" spans="1:6" x14ac:dyDescent="0.2">
      <c r="A275" s="58">
        <v>2012</v>
      </c>
      <c r="B275" s="59"/>
      <c r="C275" s="59"/>
      <c r="D275" s="59">
        <v>1750.2000000000003</v>
      </c>
      <c r="E275" s="59">
        <v>184114.22488688072</v>
      </c>
    </row>
    <row r="276" spans="1:6" x14ac:dyDescent="0.2">
      <c r="A276" s="58">
        <v>2013</v>
      </c>
      <c r="B276" s="59"/>
      <c r="C276" s="59"/>
      <c r="D276" s="59">
        <v>1810.2000000000003</v>
      </c>
      <c r="E276" s="59">
        <v>185716.17499227831</v>
      </c>
    </row>
    <row r="277" spans="1:6" x14ac:dyDescent="0.2">
      <c r="A277" s="58">
        <v>2014</v>
      </c>
      <c r="B277" s="59"/>
      <c r="C277" s="59"/>
      <c r="D277" s="59">
        <v>1816.2000000000003</v>
      </c>
      <c r="E277" s="59">
        <v>187255.7218593634</v>
      </c>
    </row>
    <row r="278" spans="1:6" x14ac:dyDescent="0.2">
      <c r="A278" s="58">
        <v>2015</v>
      </c>
      <c r="B278" s="59"/>
      <c r="C278" s="59"/>
      <c r="D278" s="59">
        <v>1816.2000000000003</v>
      </c>
      <c r="E278" s="59">
        <v>188779.5169731341</v>
      </c>
    </row>
    <row r="279" spans="1:6" x14ac:dyDescent="0.2">
      <c r="A279" s="58">
        <v>2016</v>
      </c>
      <c r="B279" s="59"/>
      <c r="C279" s="59"/>
      <c r="D279" s="59">
        <v>1816.2000000000003</v>
      </c>
      <c r="E279" s="59">
        <v>190302.63490534277</v>
      </c>
    </row>
    <row r="280" spans="1:6" x14ac:dyDescent="0.2">
      <c r="A280" s="58">
        <v>2017</v>
      </c>
      <c r="B280" s="59"/>
      <c r="C280" s="59"/>
      <c r="D280" s="59">
        <v>1920.2000000000003</v>
      </c>
      <c r="E280" s="59">
        <v>191790.66886456762</v>
      </c>
    </row>
    <row r="281" spans="1:6" x14ac:dyDescent="0.2">
      <c r="A281" s="58">
        <v>2018</v>
      </c>
      <c r="B281" s="59"/>
      <c r="C281" s="59"/>
      <c r="D281" s="59">
        <v>1920.2000000000003</v>
      </c>
      <c r="E281" s="59">
        <v>193245.0962402939</v>
      </c>
    </row>
    <row r="282" spans="1:6" x14ac:dyDescent="0.2">
      <c r="A282" s="58">
        <v>2019</v>
      </c>
      <c r="B282" s="59"/>
      <c r="C282" s="59"/>
      <c r="D282" s="59">
        <v>2121.8000000000002</v>
      </c>
      <c r="E282" s="59">
        <v>194754.99567663524</v>
      </c>
    </row>
    <row r="283" spans="1:6" x14ac:dyDescent="0.2">
      <c r="A283" s="58">
        <v>2020</v>
      </c>
      <c r="B283" s="59"/>
      <c r="C283" s="59"/>
      <c r="D283" s="59">
        <v>2133.8000000000002</v>
      </c>
      <c r="E283" s="59">
        <v>196211.07536325825</v>
      </c>
    </row>
    <row r="284" spans="1:6" x14ac:dyDescent="0.2">
      <c r="A284" s="58">
        <v>2021</v>
      </c>
      <c r="B284" s="59"/>
      <c r="C284" s="59"/>
      <c r="D284" s="59">
        <v>2153</v>
      </c>
      <c r="E284" s="59">
        <v>197453.70668476351</v>
      </c>
    </row>
    <row r="285" spans="1:6" ht="13.5" thickBot="1" x14ac:dyDescent="0.25">
      <c r="A285" s="58">
        <v>2022</v>
      </c>
      <c r="B285" s="142"/>
      <c r="C285" s="142"/>
      <c r="D285" s="142">
        <v>2173</v>
      </c>
      <c r="E285" s="142">
        <v>199266.81564852255</v>
      </c>
    </row>
    <row r="286" spans="1:6" ht="13.5" thickTop="1" x14ac:dyDescent="0.2">
      <c r="A286" s="58">
        <v>2023</v>
      </c>
      <c r="B286" s="59">
        <v>198532</v>
      </c>
      <c r="C286" s="59">
        <v>6188</v>
      </c>
      <c r="D286" s="59">
        <v>2821</v>
      </c>
      <c r="E286" s="59">
        <v>207541</v>
      </c>
      <c r="F286" s="59"/>
    </row>
    <row r="287" spans="1:6" x14ac:dyDescent="0.2">
      <c r="A287" s="58">
        <v>2024</v>
      </c>
      <c r="B287" s="59">
        <v>202575.182</v>
      </c>
      <c r="C287" s="59">
        <v>6040.6777643283203</v>
      </c>
      <c r="D287" s="59">
        <v>3230.8962356716802</v>
      </c>
      <c r="E287" s="59">
        <v>211846.75599999999</v>
      </c>
      <c r="F287" s="59"/>
    </row>
    <row r="288" spans="1:6" x14ac:dyDescent="0.2">
      <c r="A288" s="58" t="s">
        <v>12</v>
      </c>
      <c r="B288" s="59"/>
      <c r="C288" s="59"/>
      <c r="D288" s="59"/>
      <c r="E288" s="59"/>
    </row>
    <row r="289" spans="1:6" x14ac:dyDescent="0.2">
      <c r="A289" s="58">
        <v>2012</v>
      </c>
      <c r="B289" s="59"/>
      <c r="C289" s="59"/>
      <c r="D289" s="59">
        <v>477</v>
      </c>
      <c r="E289" s="59">
        <v>63248.437347398205</v>
      </c>
    </row>
    <row r="290" spans="1:6" x14ac:dyDescent="0.2">
      <c r="A290" s="58">
        <v>2013</v>
      </c>
      <c r="B290" s="59"/>
      <c r="C290" s="59"/>
      <c r="D290" s="59">
        <v>477</v>
      </c>
      <c r="E290" s="59">
        <v>64133.656831595814</v>
      </c>
    </row>
    <row r="291" spans="1:6" x14ac:dyDescent="0.2">
      <c r="A291" s="58">
        <v>2014</v>
      </c>
      <c r="B291" s="59"/>
      <c r="C291" s="59"/>
      <c r="D291" s="59">
        <v>505.79999999999995</v>
      </c>
      <c r="E291" s="59">
        <v>65021.550383533184</v>
      </c>
    </row>
    <row r="292" spans="1:6" x14ac:dyDescent="0.2">
      <c r="A292" s="58">
        <v>2015</v>
      </c>
      <c r="B292" s="59"/>
      <c r="C292" s="59"/>
      <c r="D292" s="59">
        <v>573.79999999999995</v>
      </c>
      <c r="E292" s="59">
        <v>65969.862271209233</v>
      </c>
    </row>
    <row r="293" spans="1:6" x14ac:dyDescent="0.2">
      <c r="A293" s="58">
        <v>2016</v>
      </c>
      <c r="B293" s="59"/>
      <c r="C293" s="59"/>
      <c r="D293" s="59">
        <v>573.79999999999995</v>
      </c>
      <c r="E293" s="59">
        <v>66861.694652065024</v>
      </c>
    </row>
    <row r="294" spans="1:6" x14ac:dyDescent="0.2">
      <c r="A294" s="58">
        <v>2017</v>
      </c>
      <c r="B294" s="59"/>
      <c r="C294" s="59"/>
      <c r="D294" s="59">
        <v>573.79999999999995</v>
      </c>
      <c r="E294" s="59">
        <v>67757.328927116032</v>
      </c>
    </row>
    <row r="295" spans="1:6" x14ac:dyDescent="0.2">
      <c r="A295" s="58">
        <v>2018</v>
      </c>
      <c r="B295" s="59"/>
      <c r="C295" s="59"/>
      <c r="D295" s="59">
        <v>584.59999999999991</v>
      </c>
      <c r="E295" s="59">
        <v>68640.236978849411</v>
      </c>
    </row>
    <row r="296" spans="1:6" x14ac:dyDescent="0.2">
      <c r="A296" s="58">
        <v>2019</v>
      </c>
      <c r="B296" s="59"/>
      <c r="C296" s="59"/>
      <c r="D296" s="59">
        <v>584.59999999999991</v>
      </c>
      <c r="E296" s="59">
        <v>69538.396268779994</v>
      </c>
    </row>
    <row r="297" spans="1:6" x14ac:dyDescent="0.2">
      <c r="A297" s="58">
        <v>2020</v>
      </c>
      <c r="B297" s="59"/>
      <c r="C297" s="59"/>
      <c r="D297" s="59">
        <v>677.59999999999991</v>
      </c>
      <c r="E297" s="59">
        <v>70465.696115824714</v>
      </c>
    </row>
    <row r="298" spans="1:6" x14ac:dyDescent="0.2">
      <c r="A298" s="58">
        <v>2021</v>
      </c>
      <c r="B298" s="59"/>
      <c r="C298" s="59"/>
      <c r="D298" s="59">
        <v>681.59999999999991</v>
      </c>
      <c r="E298" s="59">
        <v>71294.54348747537</v>
      </c>
    </row>
    <row r="299" spans="1:6" ht="13.5" thickBot="1" x14ac:dyDescent="0.25">
      <c r="A299" s="58">
        <v>2022</v>
      </c>
      <c r="B299" s="142"/>
      <c r="C299" s="142"/>
      <c r="D299" s="142">
        <v>681.59999999999991</v>
      </c>
      <c r="E299" s="142">
        <v>72333.370345450501</v>
      </c>
    </row>
    <row r="300" spans="1:6" ht="13.5" thickTop="1" x14ac:dyDescent="0.2">
      <c r="A300" s="58">
        <v>2023</v>
      </c>
      <c r="B300" s="59">
        <v>75571</v>
      </c>
      <c r="C300" s="59">
        <v>2928</v>
      </c>
      <c r="D300" s="59">
        <v>769</v>
      </c>
      <c r="E300" s="59">
        <v>79268</v>
      </c>
      <c r="F300" s="59"/>
    </row>
    <row r="301" spans="1:6" x14ac:dyDescent="0.2">
      <c r="A301" s="58">
        <v>2024</v>
      </c>
      <c r="B301" s="59">
        <v>76034.786000000007</v>
      </c>
      <c r="C301" s="59">
        <v>3012.6187853337824</v>
      </c>
      <c r="D301" s="59">
        <v>782.07421466621804</v>
      </c>
      <c r="E301" s="59">
        <v>79829.479000000007</v>
      </c>
      <c r="F301" s="59"/>
    </row>
    <row r="302" spans="1:6" x14ac:dyDescent="0.2">
      <c r="A302" s="58" t="s">
        <v>13</v>
      </c>
      <c r="B302" s="59"/>
      <c r="C302" s="59"/>
      <c r="D302" s="59"/>
      <c r="E302" s="59"/>
    </row>
    <row r="303" spans="1:6" x14ac:dyDescent="0.2">
      <c r="A303" s="58">
        <v>2012</v>
      </c>
      <c r="B303" s="59"/>
      <c r="C303" s="59"/>
      <c r="D303" s="59">
        <v>776.7</v>
      </c>
      <c r="E303" s="59">
        <v>112765.88913774976</v>
      </c>
    </row>
    <row r="304" spans="1:6" x14ac:dyDescent="0.2">
      <c r="A304" s="58">
        <v>2013</v>
      </c>
      <c r="B304" s="59"/>
      <c r="C304" s="59"/>
      <c r="D304" s="59">
        <v>796.3</v>
      </c>
      <c r="E304" s="59">
        <v>114798.49572338125</v>
      </c>
    </row>
    <row r="305" spans="1:6" x14ac:dyDescent="0.2">
      <c r="A305" s="58">
        <v>2014</v>
      </c>
      <c r="B305" s="59"/>
      <c r="C305" s="59"/>
      <c r="D305" s="59">
        <v>805.3</v>
      </c>
      <c r="E305" s="59">
        <v>116815.95785417798</v>
      </c>
    </row>
    <row r="306" spans="1:6" x14ac:dyDescent="0.2">
      <c r="A306" s="58">
        <v>2015</v>
      </c>
      <c r="B306" s="59"/>
      <c r="C306" s="59"/>
      <c r="D306" s="59">
        <v>819.3</v>
      </c>
      <c r="E306" s="59">
        <v>118852.57183951754</v>
      </c>
    </row>
    <row r="307" spans="1:6" x14ac:dyDescent="0.2">
      <c r="A307" s="58">
        <v>2016</v>
      </c>
      <c r="B307" s="59"/>
      <c r="C307" s="59"/>
      <c r="D307" s="59">
        <v>899.3</v>
      </c>
      <c r="E307" s="59">
        <v>120936.40310911347</v>
      </c>
    </row>
    <row r="308" spans="1:6" x14ac:dyDescent="0.2">
      <c r="A308" s="58">
        <v>2017</v>
      </c>
      <c r="B308" s="59"/>
      <c r="C308" s="59"/>
      <c r="D308" s="59">
        <v>971.29999999999984</v>
      </c>
      <c r="E308" s="59">
        <v>123029.70812047026</v>
      </c>
    </row>
    <row r="309" spans="1:6" x14ac:dyDescent="0.2">
      <c r="A309" s="58">
        <v>2018</v>
      </c>
      <c r="B309" s="59"/>
      <c r="C309" s="59"/>
      <c r="D309" s="59">
        <v>1037.3</v>
      </c>
      <c r="E309" s="59">
        <v>125100.88739547876</v>
      </c>
    </row>
    <row r="310" spans="1:6" x14ac:dyDescent="0.2">
      <c r="A310" s="58">
        <v>2019</v>
      </c>
      <c r="B310" s="59"/>
      <c r="C310" s="59"/>
      <c r="D310" s="59">
        <v>1073.3</v>
      </c>
      <c r="E310" s="59">
        <v>127195.93760874745</v>
      </c>
    </row>
    <row r="311" spans="1:6" x14ac:dyDescent="0.2">
      <c r="A311" s="58">
        <v>2020</v>
      </c>
      <c r="B311" s="59"/>
      <c r="C311" s="59"/>
      <c r="D311" s="59">
        <v>1208.8999999999999</v>
      </c>
      <c r="E311" s="59">
        <v>129321.81591936789</v>
      </c>
    </row>
    <row r="312" spans="1:6" x14ac:dyDescent="0.2">
      <c r="A312" s="58">
        <v>2021</v>
      </c>
      <c r="B312" s="59"/>
      <c r="C312" s="59"/>
      <c r="D312" s="59">
        <v>1210.8999999999999</v>
      </c>
      <c r="E312" s="59">
        <v>131312.47156882571</v>
      </c>
    </row>
    <row r="313" spans="1:6" ht="13.5" thickBot="1" x14ac:dyDescent="0.25">
      <c r="A313" s="58">
        <v>2022</v>
      </c>
      <c r="B313" s="142"/>
      <c r="C313" s="142"/>
      <c r="D313" s="142">
        <v>1210.8999999999999</v>
      </c>
      <c r="E313" s="142">
        <v>133699.64919703206</v>
      </c>
    </row>
    <row r="314" spans="1:6" ht="13.5" thickTop="1" x14ac:dyDescent="0.2">
      <c r="A314" s="58">
        <v>2023</v>
      </c>
      <c r="B314" s="59">
        <v>137681</v>
      </c>
      <c r="C314" s="59">
        <v>5428</v>
      </c>
      <c r="D314" s="59">
        <v>1431</v>
      </c>
      <c r="E314" s="59">
        <v>144540</v>
      </c>
      <c r="F314" s="59"/>
    </row>
    <row r="315" spans="1:6" x14ac:dyDescent="0.2">
      <c r="A315" s="58">
        <v>2024</v>
      </c>
      <c r="B315" s="59">
        <v>135530.554</v>
      </c>
      <c r="C315" s="59">
        <v>5458.9742922042988</v>
      </c>
      <c r="D315" s="59">
        <v>1582.7477077957001</v>
      </c>
      <c r="E315" s="59">
        <v>142572.27600000001</v>
      </c>
      <c r="F315" s="59"/>
    </row>
    <row r="316" spans="1:6" x14ac:dyDescent="0.2">
      <c r="A316" s="58" t="s">
        <v>14</v>
      </c>
      <c r="B316" s="59"/>
      <c r="C316" s="59"/>
      <c r="D316" s="59"/>
      <c r="E316" s="59"/>
    </row>
    <row r="317" spans="1:6" x14ac:dyDescent="0.2">
      <c r="A317" s="58">
        <v>2012</v>
      </c>
      <c r="B317" s="59"/>
      <c r="C317" s="59"/>
      <c r="D317" s="59">
        <v>436.8</v>
      </c>
      <c r="E317" s="59">
        <v>23129.566928107521</v>
      </c>
    </row>
    <row r="318" spans="1:6" x14ac:dyDescent="0.2">
      <c r="A318" s="58">
        <v>2013</v>
      </c>
      <c r="B318" s="59"/>
      <c r="C318" s="59"/>
      <c r="D318" s="59">
        <v>448</v>
      </c>
      <c r="E318" s="59">
        <v>23344.949533768617</v>
      </c>
    </row>
    <row r="319" spans="1:6" x14ac:dyDescent="0.2">
      <c r="A319" s="58">
        <v>2014</v>
      </c>
      <c r="B319" s="59"/>
      <c r="C319" s="59"/>
      <c r="D319" s="59">
        <v>448</v>
      </c>
      <c r="E319" s="59">
        <v>23551.168717932444</v>
      </c>
    </row>
    <row r="320" spans="1:6" x14ac:dyDescent="0.2">
      <c r="A320" s="58">
        <v>2015</v>
      </c>
      <c r="B320" s="59"/>
      <c r="C320" s="59"/>
      <c r="D320" s="59">
        <v>448</v>
      </c>
      <c r="E320" s="59">
        <v>23755.483798536414</v>
      </c>
    </row>
    <row r="321" spans="1:6" x14ac:dyDescent="0.2">
      <c r="A321" s="58">
        <v>2016</v>
      </c>
      <c r="B321" s="59"/>
      <c r="C321" s="59"/>
      <c r="D321" s="59">
        <v>448</v>
      </c>
      <c r="E321" s="59">
        <v>23961.949457899449</v>
      </c>
    </row>
    <row r="322" spans="1:6" x14ac:dyDescent="0.2">
      <c r="A322" s="58">
        <v>2017</v>
      </c>
      <c r="B322" s="59"/>
      <c r="C322" s="59"/>
      <c r="D322" s="59">
        <v>448</v>
      </c>
      <c r="E322" s="59">
        <v>24169.130836718559</v>
      </c>
    </row>
    <row r="323" spans="1:6" x14ac:dyDescent="0.2">
      <c r="A323" s="58">
        <v>2018</v>
      </c>
      <c r="B323" s="59"/>
      <c r="C323" s="59"/>
      <c r="D323" s="59">
        <v>448</v>
      </c>
      <c r="E323" s="59">
        <v>24369.130243575248</v>
      </c>
    </row>
    <row r="324" spans="1:6" x14ac:dyDescent="0.2">
      <c r="A324" s="58">
        <v>2019</v>
      </c>
      <c r="B324" s="59"/>
      <c r="C324" s="59"/>
      <c r="D324" s="59">
        <v>448</v>
      </c>
      <c r="E324" s="59">
        <v>24571.944704136866</v>
      </c>
    </row>
    <row r="325" spans="1:6" x14ac:dyDescent="0.2">
      <c r="A325" s="58">
        <v>2020</v>
      </c>
      <c r="B325" s="59"/>
      <c r="C325" s="59"/>
      <c r="D325" s="59">
        <v>448</v>
      </c>
      <c r="E325" s="59">
        <v>24771.468661909039</v>
      </c>
    </row>
    <row r="326" spans="1:6" x14ac:dyDescent="0.2">
      <c r="A326" s="58">
        <v>2021</v>
      </c>
      <c r="B326" s="59"/>
      <c r="C326" s="59"/>
      <c r="D326" s="59">
        <v>448</v>
      </c>
      <c r="E326" s="59">
        <v>24944.743242361968</v>
      </c>
    </row>
    <row r="327" spans="1:6" ht="13.5" thickBot="1" x14ac:dyDescent="0.25">
      <c r="A327" s="58">
        <v>2022</v>
      </c>
      <c r="B327" s="142"/>
      <c r="C327" s="142"/>
      <c r="D327" s="142">
        <v>448</v>
      </c>
      <c r="E327" s="142">
        <v>25189.803863102443</v>
      </c>
    </row>
    <row r="328" spans="1:6" ht="13.5" thickTop="1" x14ac:dyDescent="0.2">
      <c r="A328" s="58">
        <v>2023</v>
      </c>
      <c r="B328" s="59">
        <v>26054</v>
      </c>
      <c r="C328" s="59">
        <v>507.12</v>
      </c>
      <c r="D328" s="59">
        <v>690.88</v>
      </c>
      <c r="E328" s="59">
        <v>27252</v>
      </c>
      <c r="F328" s="59"/>
    </row>
    <row r="329" spans="1:6" x14ac:dyDescent="0.2">
      <c r="A329" s="58">
        <v>2024</v>
      </c>
      <c r="B329" s="59">
        <v>26711.6699999999</v>
      </c>
      <c r="C329" s="59">
        <v>598.23158534229299</v>
      </c>
      <c r="D329" s="59">
        <v>697.96741465770594</v>
      </c>
      <c r="E329" s="59">
        <v>28007.868999999901</v>
      </c>
      <c r="F329" s="59"/>
    </row>
    <row r="330" spans="1:6" x14ac:dyDescent="0.2">
      <c r="A330" s="58" t="s">
        <v>15</v>
      </c>
      <c r="B330" s="59"/>
      <c r="C330" s="59"/>
      <c r="D330" s="59"/>
      <c r="E330" s="59"/>
    </row>
    <row r="331" spans="1:6" x14ac:dyDescent="0.2">
      <c r="A331" s="58">
        <v>2012</v>
      </c>
      <c r="B331" s="59"/>
      <c r="C331" s="59"/>
      <c r="D331" s="59">
        <v>0</v>
      </c>
      <c r="E331" s="59">
        <v>19249.303543350266</v>
      </c>
    </row>
    <row r="332" spans="1:6" x14ac:dyDescent="0.2">
      <c r="A332" s="58">
        <v>2013</v>
      </c>
      <c r="B332" s="59"/>
      <c r="C332" s="59"/>
      <c r="D332" s="59">
        <v>0</v>
      </c>
      <c r="E332" s="59">
        <v>20472.685920676082</v>
      </c>
    </row>
    <row r="333" spans="1:6" x14ac:dyDescent="0.2">
      <c r="A333" s="58">
        <v>2014</v>
      </c>
      <c r="B333" s="59"/>
      <c r="C333" s="59"/>
      <c r="D333" s="59">
        <v>0</v>
      </c>
      <c r="E333" s="59">
        <v>21717.051874515273</v>
      </c>
    </row>
    <row r="334" spans="1:6" x14ac:dyDescent="0.2">
      <c r="A334" s="58">
        <v>2015</v>
      </c>
      <c r="B334" s="59"/>
      <c r="C334" s="59"/>
      <c r="D334" s="59">
        <v>0</v>
      </c>
      <c r="E334" s="59">
        <v>22985.041928960891</v>
      </c>
    </row>
    <row r="335" spans="1:6" x14ac:dyDescent="0.2">
      <c r="A335" s="58">
        <v>2016</v>
      </c>
      <c r="B335" s="59"/>
      <c r="C335" s="59"/>
      <c r="D335" s="59">
        <v>0</v>
      </c>
      <c r="E335" s="59">
        <v>24279.705088832692</v>
      </c>
    </row>
    <row r="336" spans="1:6" x14ac:dyDescent="0.2">
      <c r="A336" s="58">
        <v>2017</v>
      </c>
      <c r="B336" s="59"/>
      <c r="C336" s="59"/>
      <c r="D336" s="59">
        <v>0</v>
      </c>
      <c r="E336" s="59">
        <v>25598.891740424227</v>
      </c>
    </row>
    <row r="337" spans="1:6" x14ac:dyDescent="0.2">
      <c r="A337" s="58">
        <v>2018</v>
      </c>
      <c r="B337" s="59"/>
      <c r="C337" s="59"/>
      <c r="D337" s="59">
        <v>0</v>
      </c>
      <c r="E337" s="59">
        <v>26936.172120563941</v>
      </c>
    </row>
    <row r="338" spans="1:6" x14ac:dyDescent="0.2">
      <c r="A338" s="58">
        <v>2019</v>
      </c>
      <c r="B338" s="59"/>
      <c r="C338" s="59"/>
      <c r="D338" s="59">
        <v>0</v>
      </c>
      <c r="E338" s="59">
        <v>28302.258016194137</v>
      </c>
    </row>
    <row r="339" spans="1:6" x14ac:dyDescent="0.2">
      <c r="A339" s="58">
        <v>2020</v>
      </c>
      <c r="B339" s="59"/>
      <c r="C339" s="59"/>
      <c r="D339" s="59">
        <v>0</v>
      </c>
      <c r="E339" s="59">
        <v>29690.49291425027</v>
      </c>
    </row>
    <row r="340" spans="1:6" x14ac:dyDescent="0.2">
      <c r="A340" s="58">
        <v>2021</v>
      </c>
      <c r="B340" s="59"/>
      <c r="C340" s="59"/>
      <c r="D340" s="59">
        <v>0</v>
      </c>
      <c r="E340" s="59">
        <v>31072.03932079146</v>
      </c>
    </row>
    <row r="341" spans="1:6" ht="13.5" thickBot="1" x14ac:dyDescent="0.25">
      <c r="A341" s="58">
        <v>2022</v>
      </c>
      <c r="B341" s="142"/>
      <c r="C341" s="142"/>
      <c r="D341" s="142">
        <v>0</v>
      </c>
      <c r="E341" s="142">
        <v>32568.914597215291</v>
      </c>
    </row>
    <row r="342" spans="1:6" ht="13.5" thickTop="1" x14ac:dyDescent="0.2">
      <c r="A342" s="58">
        <v>2023</v>
      </c>
      <c r="B342" s="59">
        <v>35030</v>
      </c>
      <c r="C342" s="59">
        <v>649</v>
      </c>
      <c r="D342" s="59">
        <v>0</v>
      </c>
      <c r="E342" s="59">
        <v>35679</v>
      </c>
      <c r="F342" s="59"/>
    </row>
    <row r="343" spans="1:6" x14ac:dyDescent="0.2">
      <c r="A343" s="58">
        <v>2024</v>
      </c>
      <c r="B343" s="59">
        <v>34914.721999999994</v>
      </c>
      <c r="C343" s="59">
        <v>637.48800000000006</v>
      </c>
      <c r="D343" s="59">
        <v>0</v>
      </c>
      <c r="E343" s="59">
        <v>35552.209999999992</v>
      </c>
      <c r="F343" s="59"/>
    </row>
    <row r="344" spans="1:6" x14ac:dyDescent="0.2">
      <c r="A344" s="58" t="s">
        <v>16</v>
      </c>
      <c r="B344" s="59"/>
      <c r="C344" s="59"/>
      <c r="D344" s="59"/>
      <c r="E344" s="59"/>
    </row>
    <row r="345" spans="1:6" x14ac:dyDescent="0.2">
      <c r="A345" s="58">
        <v>2012</v>
      </c>
      <c r="B345" s="59"/>
      <c r="C345" s="59"/>
      <c r="D345" s="59">
        <v>153.4</v>
      </c>
      <c r="E345" s="59">
        <v>7576.0256946328436</v>
      </c>
    </row>
    <row r="346" spans="1:6" x14ac:dyDescent="0.2">
      <c r="A346" s="58">
        <v>2013</v>
      </c>
      <c r="B346" s="59"/>
      <c r="C346" s="59"/>
      <c r="D346" s="59">
        <v>153.4</v>
      </c>
      <c r="E346" s="59">
        <v>7665.0852722092504</v>
      </c>
    </row>
    <row r="347" spans="1:6" x14ac:dyDescent="0.2">
      <c r="A347" s="58">
        <v>2014</v>
      </c>
      <c r="B347" s="59"/>
      <c r="C347" s="59"/>
      <c r="D347" s="59">
        <v>153.4</v>
      </c>
      <c r="E347" s="59">
        <v>7754.2530258178012</v>
      </c>
    </row>
    <row r="348" spans="1:6" x14ac:dyDescent="0.2">
      <c r="A348" s="58">
        <v>2015</v>
      </c>
      <c r="B348" s="59"/>
      <c r="C348" s="59"/>
      <c r="D348" s="59">
        <v>153.4</v>
      </c>
      <c r="E348" s="59">
        <v>7843.5289554584979</v>
      </c>
    </row>
    <row r="349" spans="1:6" x14ac:dyDescent="0.2">
      <c r="A349" s="58">
        <v>2016</v>
      </c>
      <c r="B349" s="59"/>
      <c r="C349" s="59"/>
      <c r="D349" s="59">
        <v>199.40000000000003</v>
      </c>
      <c r="E349" s="59">
        <v>7932.9130611313367</v>
      </c>
    </row>
    <row r="350" spans="1:6" x14ac:dyDescent="0.2">
      <c r="A350" s="58">
        <v>2017</v>
      </c>
      <c r="B350" s="59"/>
      <c r="C350" s="59"/>
      <c r="D350" s="59">
        <v>199.40000000000003</v>
      </c>
      <c r="E350" s="59">
        <v>8022.4053428363204</v>
      </c>
    </row>
    <row r="351" spans="1:6" x14ac:dyDescent="0.2">
      <c r="A351" s="58">
        <v>2018</v>
      </c>
      <c r="B351" s="59"/>
      <c r="C351" s="59"/>
      <c r="D351" s="59">
        <v>199.40000000000003</v>
      </c>
      <c r="E351" s="59">
        <v>8112.00580057345</v>
      </c>
    </row>
    <row r="352" spans="1:6" x14ac:dyDescent="0.2">
      <c r="A352" s="58">
        <v>2019</v>
      </c>
      <c r="B352" s="59"/>
      <c r="C352" s="59"/>
      <c r="D352" s="59">
        <v>199.40000000000003</v>
      </c>
      <c r="E352" s="59">
        <v>8201.7144343427226</v>
      </c>
    </row>
    <row r="353" spans="1:10" x14ac:dyDescent="0.2">
      <c r="A353" s="58">
        <v>2020</v>
      </c>
      <c r="B353" s="59"/>
      <c r="C353" s="59"/>
      <c r="D353" s="59">
        <v>199.40000000000003</v>
      </c>
      <c r="E353" s="59">
        <v>8291.5312441441456</v>
      </c>
    </row>
    <row r="354" spans="1:10" x14ac:dyDescent="0.2">
      <c r="A354" s="58">
        <v>2021</v>
      </c>
      <c r="B354" s="59"/>
      <c r="C354" s="59"/>
      <c r="D354" s="59">
        <v>199.40000000000003</v>
      </c>
      <c r="E354" s="59">
        <v>8378.3874721428765</v>
      </c>
    </row>
    <row r="355" spans="1:10" ht="13.5" thickBot="1" x14ac:dyDescent="0.25">
      <c r="A355" s="58">
        <v>2022</v>
      </c>
      <c r="B355" s="142"/>
      <c r="C355" s="142"/>
      <c r="D355" s="142">
        <v>199.40000000000003</v>
      </c>
      <c r="E355" s="142">
        <v>8481.115863408626</v>
      </c>
    </row>
    <row r="356" spans="1:10" ht="13.5" thickTop="1" x14ac:dyDescent="0.2">
      <c r="A356" s="58">
        <v>2023</v>
      </c>
      <c r="B356" s="59">
        <v>8208</v>
      </c>
      <c r="C356" s="59">
        <v>1381</v>
      </c>
      <c r="D356" s="59">
        <v>304</v>
      </c>
      <c r="E356" s="59">
        <v>9896</v>
      </c>
      <c r="F356" s="59"/>
    </row>
    <row r="357" spans="1:10" x14ac:dyDescent="0.2">
      <c r="A357" s="62">
        <v>2024</v>
      </c>
      <c r="B357" s="63">
        <v>8176.1080000000002</v>
      </c>
      <c r="C357" s="63">
        <v>1387.1989999999998</v>
      </c>
      <c r="D357" s="63">
        <v>315.10523278538199</v>
      </c>
      <c r="E357" s="63">
        <v>9880.2242327853819</v>
      </c>
      <c r="F357" s="59"/>
    </row>
    <row r="358" spans="1:10" x14ac:dyDescent="0.2">
      <c r="A358" s="117" t="s">
        <v>37</v>
      </c>
    </row>
    <row r="359" spans="1:10" x14ac:dyDescent="0.2">
      <c r="A359" s="58" t="s">
        <v>303</v>
      </c>
      <c r="B359" s="75"/>
      <c r="C359" s="75"/>
      <c r="D359" s="75"/>
      <c r="E359" s="75"/>
    </row>
    <row r="360" spans="1:10" x14ac:dyDescent="0.2">
      <c r="A360" s="117"/>
    </row>
    <row r="362" spans="1:10" x14ac:dyDescent="0.2">
      <c r="A362" s="58" t="s">
        <v>285</v>
      </c>
    </row>
    <row r="363" spans="1:10" x14ac:dyDescent="0.2">
      <c r="A363" s="72"/>
      <c r="B363" s="72" t="s">
        <v>20</v>
      </c>
      <c r="C363" s="72" t="s">
        <v>21</v>
      </c>
      <c r="D363" s="72" t="s">
        <v>22</v>
      </c>
      <c r="E363" s="72" t="s">
        <v>23</v>
      </c>
      <c r="F363" s="72" t="s">
        <v>24</v>
      </c>
      <c r="G363" s="72" t="s">
        <v>25</v>
      </c>
      <c r="H363" s="72" t="s">
        <v>26</v>
      </c>
      <c r="I363" s="72"/>
      <c r="J363" s="72" t="s">
        <v>17</v>
      </c>
    </row>
    <row r="364" spans="1:10" x14ac:dyDescent="0.2">
      <c r="B364" s="76" t="s">
        <v>8</v>
      </c>
      <c r="C364" s="76"/>
      <c r="D364" s="76"/>
      <c r="E364" s="76"/>
      <c r="F364" s="76"/>
      <c r="G364" s="76"/>
      <c r="H364" s="76"/>
      <c r="I364" s="76"/>
      <c r="J364" s="76"/>
    </row>
    <row r="365" spans="1:10" x14ac:dyDescent="0.2">
      <c r="A365" s="77" t="s">
        <v>27</v>
      </c>
      <c r="B365" s="64">
        <v>145950.478</v>
      </c>
      <c r="C365" s="64">
        <v>129105</v>
      </c>
      <c r="D365" s="64">
        <v>153187</v>
      </c>
      <c r="E365" s="64">
        <v>77848.7</v>
      </c>
      <c r="F365" s="64">
        <v>128161.81999999998</v>
      </c>
      <c r="G365" s="64">
        <v>14324</v>
      </c>
      <c r="H365" s="64">
        <v>13872</v>
      </c>
      <c r="I365" s="64"/>
      <c r="J365" s="64">
        <v>662448.99800000002</v>
      </c>
    </row>
    <row r="366" spans="1:10" x14ac:dyDescent="0.2">
      <c r="A366" s="77" t="s">
        <v>28</v>
      </c>
      <c r="B366" s="65">
        <v>146210</v>
      </c>
      <c r="C366" s="65">
        <v>129464</v>
      </c>
      <c r="D366" s="65">
        <v>152827</v>
      </c>
      <c r="E366" s="65">
        <v>77786</v>
      </c>
      <c r="F366" s="65">
        <v>128003</v>
      </c>
      <c r="G366" s="65">
        <v>14219</v>
      </c>
      <c r="H366" s="65">
        <v>13675</v>
      </c>
      <c r="I366" s="65"/>
      <c r="J366" s="65">
        <v>662184</v>
      </c>
    </row>
    <row r="367" spans="1:10" x14ac:dyDescent="0.2">
      <c r="A367" s="77" t="s">
        <v>29</v>
      </c>
      <c r="B367" s="65">
        <v>146190.89956999995</v>
      </c>
      <c r="C367" s="65">
        <v>129880.953523</v>
      </c>
      <c r="D367" s="65">
        <v>153207</v>
      </c>
      <c r="E367" s="65">
        <v>77923.830000000031</v>
      </c>
      <c r="F367" s="65">
        <v>127796.18300000002</v>
      </c>
      <c r="G367" s="65">
        <v>14260.465</v>
      </c>
      <c r="H367" s="65">
        <v>12957</v>
      </c>
      <c r="I367" s="65"/>
      <c r="J367" s="65">
        <v>662216.3310929999</v>
      </c>
    </row>
    <row r="368" spans="1:10" x14ac:dyDescent="0.2">
      <c r="A368" s="77" t="s">
        <v>30</v>
      </c>
      <c r="B368" s="65">
        <v>146323.97464</v>
      </c>
      <c r="C368" s="65">
        <v>130549</v>
      </c>
      <c r="D368" s="65">
        <v>149663</v>
      </c>
      <c r="E368" s="65">
        <v>78215</v>
      </c>
      <c r="F368" s="65">
        <v>127876</v>
      </c>
      <c r="G368" s="65">
        <v>14216</v>
      </c>
      <c r="H368" s="65">
        <v>13307</v>
      </c>
      <c r="I368" s="65"/>
      <c r="J368" s="65">
        <v>660149.97464000003</v>
      </c>
    </row>
    <row r="369" spans="1:15" x14ac:dyDescent="0.2">
      <c r="A369" s="77" t="s">
        <v>31</v>
      </c>
      <c r="B369" s="65">
        <v>146319.91899999997</v>
      </c>
      <c r="C369" s="65">
        <v>130501.44182800002</v>
      </c>
      <c r="D369" s="65">
        <v>148843.66186299999</v>
      </c>
      <c r="E369" s="65">
        <v>78147</v>
      </c>
      <c r="F369" s="65">
        <v>127503</v>
      </c>
      <c r="G369" s="65">
        <v>14266</v>
      </c>
      <c r="H369" s="65">
        <v>13309.3179996</v>
      </c>
      <c r="I369" s="65"/>
      <c r="J369" s="65">
        <v>658890.34069059999</v>
      </c>
    </row>
    <row r="370" spans="1:15" x14ac:dyDescent="0.2">
      <c r="A370" s="77" t="s">
        <v>32</v>
      </c>
      <c r="B370" s="65">
        <v>146530</v>
      </c>
      <c r="C370" s="65">
        <v>131184</v>
      </c>
      <c r="D370" s="65">
        <v>149278</v>
      </c>
      <c r="E370" s="65">
        <v>78198</v>
      </c>
      <c r="F370" s="65">
        <v>127977</v>
      </c>
      <c r="G370" s="65">
        <v>14162</v>
      </c>
      <c r="H370" s="65">
        <v>13268</v>
      </c>
      <c r="I370" s="65"/>
      <c r="J370" s="65">
        <v>660597</v>
      </c>
    </row>
    <row r="371" spans="1:15" x14ac:dyDescent="0.2">
      <c r="A371" s="77" t="s">
        <v>88</v>
      </c>
      <c r="B371" s="65">
        <v>146647</v>
      </c>
      <c r="C371" s="65">
        <v>131985</v>
      </c>
      <c r="D371" s="65">
        <v>150309</v>
      </c>
      <c r="E371" s="65">
        <v>78210</v>
      </c>
      <c r="F371" s="65">
        <v>127887</v>
      </c>
      <c r="G371" s="65">
        <v>14173</v>
      </c>
      <c r="H371" s="65">
        <v>13285</v>
      </c>
      <c r="I371" s="65"/>
      <c r="J371" s="65">
        <v>662496</v>
      </c>
    </row>
    <row r="372" spans="1:15" x14ac:dyDescent="0.2">
      <c r="A372" s="77" t="s">
        <v>89</v>
      </c>
      <c r="B372" s="65">
        <v>146998</v>
      </c>
      <c r="C372" s="65">
        <v>132816</v>
      </c>
      <c r="D372" s="65">
        <v>150249</v>
      </c>
      <c r="E372" s="65">
        <v>78242</v>
      </c>
      <c r="F372" s="65">
        <v>127305</v>
      </c>
      <c r="G372" s="65">
        <v>14211</v>
      </c>
      <c r="H372" s="65">
        <v>13456</v>
      </c>
      <c r="I372" s="65"/>
      <c r="J372" s="65">
        <v>663277</v>
      </c>
    </row>
    <row r="373" spans="1:15" x14ac:dyDescent="0.2">
      <c r="A373" s="77" t="s">
        <v>90</v>
      </c>
      <c r="B373" s="65">
        <v>147113</v>
      </c>
      <c r="C373" s="65">
        <v>132558</v>
      </c>
      <c r="D373" s="65">
        <v>150407</v>
      </c>
      <c r="E373" s="65">
        <v>77986</v>
      </c>
      <c r="F373" s="65">
        <v>126993</v>
      </c>
      <c r="G373" s="65">
        <v>14208</v>
      </c>
      <c r="H373" s="65">
        <v>13417</v>
      </c>
      <c r="I373" s="65"/>
      <c r="J373" s="65">
        <v>662682</v>
      </c>
    </row>
    <row r="374" spans="1:15" x14ac:dyDescent="0.2">
      <c r="A374" s="77" t="s">
        <v>183</v>
      </c>
      <c r="B374" s="65">
        <v>147617</v>
      </c>
      <c r="C374" s="65">
        <v>133405</v>
      </c>
      <c r="D374" s="65">
        <v>150433</v>
      </c>
      <c r="E374" s="65">
        <v>78130</v>
      </c>
      <c r="F374" s="65">
        <v>127179</v>
      </c>
      <c r="G374" s="65">
        <v>14242</v>
      </c>
      <c r="H374" s="65">
        <v>13186</v>
      </c>
      <c r="I374" s="65"/>
      <c r="J374" s="65">
        <v>664192</v>
      </c>
    </row>
    <row r="375" spans="1:15" x14ac:dyDescent="0.2">
      <c r="A375" s="77" t="s">
        <v>184</v>
      </c>
      <c r="B375" s="65">
        <v>147617</v>
      </c>
      <c r="C375" s="65">
        <v>133042</v>
      </c>
      <c r="D375" s="65">
        <v>150092</v>
      </c>
      <c r="E375" s="65">
        <v>78146</v>
      </c>
      <c r="F375" s="65">
        <v>127360</v>
      </c>
      <c r="G375" s="65">
        <v>14205</v>
      </c>
      <c r="H375" s="65">
        <v>13141</v>
      </c>
      <c r="I375" s="65"/>
      <c r="J375" s="65">
        <v>663603</v>
      </c>
    </row>
    <row r="376" spans="1:15" x14ac:dyDescent="0.2">
      <c r="A376" s="78" t="s">
        <v>209</v>
      </c>
      <c r="B376" s="66">
        <v>148403</v>
      </c>
      <c r="C376" s="66">
        <v>133040</v>
      </c>
      <c r="D376" s="66">
        <v>150070</v>
      </c>
      <c r="E376" s="66">
        <v>78193</v>
      </c>
      <c r="F376" s="66">
        <v>127013</v>
      </c>
      <c r="G376" s="66">
        <v>14212</v>
      </c>
      <c r="H376" s="66">
        <v>13164</v>
      </c>
      <c r="I376" s="66"/>
      <c r="J376" s="66">
        <v>664095</v>
      </c>
    </row>
    <row r="377" spans="1:15" x14ac:dyDescent="0.2">
      <c r="A377" s="79" t="s">
        <v>221</v>
      </c>
      <c r="B377" s="80"/>
      <c r="C377" s="80"/>
      <c r="D377" s="80"/>
      <c r="E377" s="80"/>
      <c r="F377" s="80"/>
      <c r="G377" s="80"/>
      <c r="H377" s="80"/>
      <c r="I377" s="80"/>
      <c r="J377" s="80"/>
    </row>
    <row r="378" spans="1:15" x14ac:dyDescent="0.2">
      <c r="A378" s="77"/>
      <c r="B378" s="81"/>
      <c r="C378" s="81"/>
      <c r="D378" s="81"/>
      <c r="E378" s="81"/>
      <c r="F378" s="81"/>
    </row>
    <row r="379" spans="1:15" x14ac:dyDescent="0.2">
      <c r="F379" s="192"/>
      <c r="G379" s="192"/>
      <c r="H379" s="192"/>
      <c r="I379" s="67"/>
    </row>
    <row r="380" spans="1:15" x14ac:dyDescent="0.2">
      <c r="F380" s="192"/>
      <c r="G380" s="192"/>
      <c r="H380" s="192"/>
      <c r="I380" s="67"/>
    </row>
    <row r="381" spans="1:15" x14ac:dyDescent="0.2">
      <c r="M381" s="67"/>
      <c r="N381" s="68"/>
      <c r="O381" s="68"/>
    </row>
    <row r="382" spans="1:15" x14ac:dyDescent="0.2">
      <c r="M382" s="57"/>
      <c r="N382" s="69"/>
      <c r="O382" s="82"/>
    </row>
    <row r="383" spans="1:15" x14ac:dyDescent="0.2">
      <c r="M383" s="57"/>
      <c r="N383" s="69"/>
      <c r="O383" s="82"/>
    </row>
    <row r="384" spans="1:15" x14ac:dyDescent="0.2">
      <c r="M384" s="57"/>
      <c r="N384" s="69"/>
      <c r="O384" s="82"/>
    </row>
    <row r="385" spans="13:15" x14ac:dyDescent="0.2">
      <c r="M385" s="57"/>
      <c r="N385" s="69"/>
      <c r="O385" s="82"/>
    </row>
    <row r="386" spans="13:15" x14ac:dyDescent="0.2">
      <c r="M386" s="57"/>
      <c r="N386" s="69"/>
      <c r="O386" s="82"/>
    </row>
    <row r="387" spans="13:15" x14ac:dyDescent="0.2">
      <c r="M387" s="57"/>
      <c r="N387" s="69"/>
      <c r="O387" s="82"/>
    </row>
    <row r="388" spans="13:15" x14ac:dyDescent="0.2">
      <c r="M388" s="57"/>
      <c r="N388" s="69"/>
      <c r="O388" s="82"/>
    </row>
    <row r="389" spans="13:15" x14ac:dyDescent="0.2">
      <c r="M389" s="57"/>
      <c r="N389" s="69"/>
      <c r="O389" s="82"/>
    </row>
    <row r="390" spans="13:15" x14ac:dyDescent="0.2">
      <c r="M390" s="57"/>
      <c r="N390" s="69"/>
      <c r="O390" s="82"/>
    </row>
    <row r="391" spans="13:15" x14ac:dyDescent="0.2">
      <c r="M391" s="67"/>
      <c r="N391" s="67"/>
      <c r="O391" s="82"/>
    </row>
    <row r="392" spans="13:15" x14ac:dyDescent="0.2">
      <c r="M392" s="57"/>
      <c r="O392" s="82"/>
    </row>
    <row r="393" spans="13:15" x14ac:dyDescent="0.2">
      <c r="M393" s="57"/>
      <c r="O393" s="82"/>
    </row>
    <row r="394" spans="13:15" x14ac:dyDescent="0.2">
      <c r="M394" s="57"/>
      <c r="O394" s="82"/>
    </row>
    <row r="395" spans="13:15" ht="15" customHeight="1" x14ac:dyDescent="0.2">
      <c r="M395" s="57"/>
    </row>
    <row r="396" spans="13:15" x14ac:dyDescent="0.2">
      <c r="M396" s="70"/>
      <c r="N396" s="83"/>
      <c r="O396" s="83"/>
    </row>
    <row r="397" spans="13:15" x14ac:dyDescent="0.2">
      <c r="M397" s="57"/>
    </row>
    <row r="398" spans="13:15" x14ac:dyDescent="0.2">
      <c r="M398" s="57"/>
    </row>
    <row r="399" spans="13:15" x14ac:dyDescent="0.2">
      <c r="M399" s="57"/>
    </row>
    <row r="400" spans="13:15" x14ac:dyDescent="0.2">
      <c r="M400" s="57"/>
    </row>
    <row r="401" spans="13:13" x14ac:dyDescent="0.2">
      <c r="M401" s="57"/>
    </row>
    <row r="402" spans="13:13" x14ac:dyDescent="0.2">
      <c r="M402" s="57"/>
    </row>
    <row r="403" spans="13:13" x14ac:dyDescent="0.2">
      <c r="M403" s="57"/>
    </row>
    <row r="404" spans="13:13" x14ac:dyDescent="0.2">
      <c r="M404" s="57"/>
    </row>
    <row r="405" spans="13:13" x14ac:dyDescent="0.2">
      <c r="M405" s="57"/>
    </row>
    <row r="406" spans="13:13" x14ac:dyDescent="0.2">
      <c r="M406" s="57"/>
    </row>
    <row r="407" spans="13:13" x14ac:dyDescent="0.2">
      <c r="M407" s="57"/>
    </row>
  </sheetData>
  <mergeCells count="7">
    <mergeCell ref="B61:E61"/>
    <mergeCell ref="B4:E4"/>
    <mergeCell ref="F380:H380"/>
    <mergeCell ref="B180:J180"/>
    <mergeCell ref="F379:H379"/>
    <mergeCell ref="B245:E245"/>
    <mergeCell ref="B188:E188"/>
  </mergeCells>
  <pageMargins left="0.70866141732283472" right="0.70866141732283472" top="0.74803149606299213" bottom="0.74803149606299213" header="0.31496062992125984" footer="0.31496062992125984"/>
  <pageSetup paperSize="9" scale="54" fitToHeight="0" orientation="portrait" horizontalDpi="1200" verticalDpi="1200" r:id="rId1"/>
  <headerFooter>
    <oddHeader>&amp;C&amp;"Calibri"&amp;14&amp;KFF0000 OFFICIAL&amp;1#_x000D_</oddHeader>
    <oddFooter>&amp;C_x000D_&amp;1#&amp;"Calibri"&amp;14&amp;KFF0000 OFFICIAL</oddFooter>
  </headerFooter>
  <rowBreaks count="2" manualBreakCount="2">
    <brk id="58" max="16383" man="1"/>
    <brk id="23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I63"/>
  <sheetViews>
    <sheetView workbookViewId="0">
      <pane xSplit="1" ySplit="5" topLeftCell="B55" activePane="bottomRight" state="frozen"/>
      <selection pane="topRight" activeCell="B1" sqref="B1"/>
      <selection pane="bottomLeft" activeCell="A6" sqref="A6"/>
      <selection pane="bottomRight" activeCell="I60" sqref="I6:I60"/>
    </sheetView>
  </sheetViews>
  <sheetFormatPr defaultColWidth="9.140625" defaultRowHeight="12.75" x14ac:dyDescent="0.2"/>
  <cols>
    <col min="1" max="1" width="8.7109375" style="8" customWidth="1"/>
    <col min="2" max="8" width="11.28515625" style="5" customWidth="1"/>
    <col min="9" max="16384" width="9.140625" style="5"/>
  </cols>
  <sheetData>
    <row r="2" spans="1:9" x14ac:dyDescent="0.2">
      <c r="A2" s="6" t="s">
        <v>252</v>
      </c>
      <c r="B2" s="7"/>
      <c r="C2" s="7"/>
      <c r="D2" s="7"/>
      <c r="E2" s="7"/>
      <c r="F2" s="7"/>
      <c r="G2" s="7"/>
      <c r="H2" s="7"/>
    </row>
    <row r="4" spans="1:9" ht="38.25" x14ac:dyDescent="0.2">
      <c r="A4" s="9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7</v>
      </c>
    </row>
    <row r="5" spans="1:9" x14ac:dyDescent="0.2">
      <c r="A5" s="6"/>
      <c r="B5" s="195" t="s">
        <v>45</v>
      </c>
      <c r="C5" s="195"/>
      <c r="D5" s="195"/>
      <c r="E5" s="195"/>
      <c r="F5" s="195"/>
      <c r="G5" s="195"/>
      <c r="H5" s="195"/>
    </row>
    <row r="6" spans="1:9" x14ac:dyDescent="0.2">
      <c r="A6" s="26" t="s">
        <v>46</v>
      </c>
      <c r="B6" s="114">
        <v>60.730220238068625</v>
      </c>
      <c r="C6" s="114">
        <v>1.0140000000000002</v>
      </c>
      <c r="D6" s="114">
        <v>0.66146536798894884</v>
      </c>
      <c r="E6" s="114">
        <v>9.8387924415243084</v>
      </c>
      <c r="F6" s="114">
        <v>4.7039983543045238</v>
      </c>
      <c r="G6" s="114">
        <v>1.6569561239439166</v>
      </c>
      <c r="H6" s="114">
        <v>78.605432525830324</v>
      </c>
      <c r="I6" s="2"/>
    </row>
    <row r="7" spans="1:9" x14ac:dyDescent="0.2">
      <c r="A7" s="26" t="s">
        <v>47</v>
      </c>
      <c r="B7" s="114">
        <v>64.796702377477587</v>
      </c>
      <c r="C7" s="114">
        <v>1.0999999999999999</v>
      </c>
      <c r="D7" s="114">
        <v>0.65450389397240216</v>
      </c>
      <c r="E7" s="114">
        <v>10.416996023992466</v>
      </c>
      <c r="F7" s="114">
        <v>4.6923494476477892</v>
      </c>
      <c r="G7" s="114">
        <v>1.7649740356933117</v>
      </c>
      <c r="H7" s="114">
        <v>83.425525778783552</v>
      </c>
      <c r="I7" s="2"/>
    </row>
    <row r="8" spans="1:9" x14ac:dyDescent="0.2">
      <c r="A8" s="26" t="s">
        <v>48</v>
      </c>
      <c r="B8" s="114">
        <v>67.328530710221145</v>
      </c>
      <c r="C8" s="114">
        <v>1.2000000000000002</v>
      </c>
      <c r="D8" s="114">
        <v>0.67931030589066044</v>
      </c>
      <c r="E8" s="114">
        <v>11.005689041920371</v>
      </c>
      <c r="F8" s="114">
        <v>4.708169026335904</v>
      </c>
      <c r="G8" s="114">
        <v>1.8005824997864095</v>
      </c>
      <c r="H8" s="114">
        <v>86.722281584154516</v>
      </c>
      <c r="I8" s="2"/>
    </row>
    <row r="9" spans="1:9" x14ac:dyDescent="0.2">
      <c r="A9" s="26" t="s">
        <v>49</v>
      </c>
      <c r="B9" s="114">
        <v>71.987361479965926</v>
      </c>
      <c r="C9" s="114">
        <v>1.2999999999999998</v>
      </c>
      <c r="D9" s="114">
        <v>0.68551370269974488</v>
      </c>
      <c r="E9" s="114">
        <v>12.022900837899574</v>
      </c>
      <c r="F9" s="114">
        <v>4.8669171095809434</v>
      </c>
      <c r="G9" s="114">
        <v>1.9005090203613639</v>
      </c>
      <c r="H9" s="114">
        <v>92.763202150507553</v>
      </c>
      <c r="I9" s="2"/>
    </row>
    <row r="10" spans="1:9" x14ac:dyDescent="0.2">
      <c r="A10" s="26" t="s">
        <v>50</v>
      </c>
      <c r="B10" s="114">
        <v>75.207404368012106</v>
      </c>
      <c r="C10" s="114">
        <v>1.3999999999999995</v>
      </c>
      <c r="D10" s="114">
        <v>0.6883987268551166</v>
      </c>
      <c r="E10" s="114">
        <v>12.958751109837527</v>
      </c>
      <c r="F10" s="114">
        <v>5.0308979042235293</v>
      </c>
      <c r="G10" s="114">
        <v>1.9067785448114347</v>
      </c>
      <c r="H10" s="114">
        <v>97.192230653739699</v>
      </c>
      <c r="I10" s="2"/>
    </row>
    <row r="11" spans="1:9" x14ac:dyDescent="0.2">
      <c r="A11" s="26" t="s">
        <v>51</v>
      </c>
      <c r="B11" s="114">
        <v>78.396257854711678</v>
      </c>
      <c r="C11" s="114">
        <v>1.64</v>
      </c>
      <c r="D11" s="114">
        <v>0.69007268006996347</v>
      </c>
      <c r="E11" s="114">
        <v>13.116404894533698</v>
      </c>
      <c r="F11" s="114">
        <v>5.2456000000000014</v>
      </c>
      <c r="G11" s="114">
        <v>2.0347144464036679</v>
      </c>
      <c r="H11" s="114">
        <v>101.123049875719</v>
      </c>
      <c r="I11" s="2"/>
    </row>
    <row r="12" spans="1:9" x14ac:dyDescent="0.2">
      <c r="A12" s="26" t="s">
        <v>52</v>
      </c>
      <c r="B12" s="114">
        <v>82.082441585877888</v>
      </c>
      <c r="C12" s="114">
        <v>1.6799999999999997</v>
      </c>
      <c r="D12" s="114">
        <v>0.70014908462946845</v>
      </c>
      <c r="E12" s="114">
        <v>14.829994647446515</v>
      </c>
      <c r="F12" s="114">
        <v>5.1531767042253609</v>
      </c>
      <c r="G12" s="114">
        <v>2.1980034010258822</v>
      </c>
      <c r="H12" s="114">
        <v>106.64376542320512</v>
      </c>
      <c r="I12" s="2"/>
    </row>
    <row r="13" spans="1:9" x14ac:dyDescent="0.2">
      <c r="A13" s="26" t="s">
        <v>53</v>
      </c>
      <c r="B13" s="114">
        <v>85.021784298584691</v>
      </c>
      <c r="C13" s="114">
        <v>1.7300000000000004</v>
      </c>
      <c r="D13" s="114">
        <v>0.71471647818326123</v>
      </c>
      <c r="E13" s="114">
        <v>16.113976819662142</v>
      </c>
      <c r="F13" s="114">
        <v>5.0967466287437624</v>
      </c>
      <c r="G13" s="114">
        <v>2.2229842379288951</v>
      </c>
      <c r="H13" s="114">
        <v>110.90020846310276</v>
      </c>
      <c r="I13" s="2"/>
    </row>
    <row r="14" spans="1:9" x14ac:dyDescent="0.2">
      <c r="A14" s="26" t="s">
        <v>54</v>
      </c>
      <c r="B14" s="114">
        <v>87.563719697836618</v>
      </c>
      <c r="C14" s="114">
        <v>1.7700000000000002</v>
      </c>
      <c r="D14" s="114">
        <v>0.72876176721210584</v>
      </c>
      <c r="E14" s="114">
        <v>16.671025901568449</v>
      </c>
      <c r="F14" s="114">
        <v>5.1295999999999999</v>
      </c>
      <c r="G14" s="114">
        <v>2.6014323151871199</v>
      </c>
      <c r="H14" s="114">
        <v>114.4645396818043</v>
      </c>
      <c r="I14" s="2"/>
    </row>
    <row r="15" spans="1:9" x14ac:dyDescent="0.2">
      <c r="A15" s="26" t="s">
        <v>55</v>
      </c>
      <c r="B15" s="114">
        <v>88.059856316164243</v>
      </c>
      <c r="C15" s="114">
        <v>1.9000000000000001</v>
      </c>
      <c r="D15" s="114">
        <v>0.76989086881170843</v>
      </c>
      <c r="E15" s="114">
        <v>16.789561512116784</v>
      </c>
      <c r="F15" s="114">
        <v>5.6466811890510726</v>
      </c>
      <c r="G15" s="114">
        <v>2.8001866386389507</v>
      </c>
      <c r="H15" s="114">
        <v>115.96617652478277</v>
      </c>
      <c r="I15" s="2"/>
    </row>
    <row r="16" spans="1:9" x14ac:dyDescent="0.2">
      <c r="A16" s="26" t="s">
        <v>56</v>
      </c>
      <c r="B16" s="114">
        <v>89.568552980756351</v>
      </c>
      <c r="C16" s="114">
        <v>1.9999999999999998</v>
      </c>
      <c r="D16" s="114">
        <v>0.81822351236774749</v>
      </c>
      <c r="E16" s="114">
        <v>17.343252228129604</v>
      </c>
      <c r="F16" s="114">
        <v>6.1333945478648451</v>
      </c>
      <c r="G16" s="114">
        <v>2.8770623634957682</v>
      </c>
      <c r="H16" s="114">
        <v>118.74048563261431</v>
      </c>
      <c r="I16" s="2"/>
    </row>
    <row r="17" spans="1:9" x14ac:dyDescent="0.2">
      <c r="A17" s="26" t="s">
        <v>57</v>
      </c>
      <c r="B17" s="114">
        <v>94.138707116240624</v>
      </c>
      <c r="C17" s="114">
        <v>2.1800000000000006</v>
      </c>
      <c r="D17" s="114">
        <v>0.85726140266504935</v>
      </c>
      <c r="E17" s="114">
        <v>17.864236121124328</v>
      </c>
      <c r="F17" s="114">
        <v>6.970600000000001</v>
      </c>
      <c r="G17" s="114">
        <v>3.0556663733679663</v>
      </c>
      <c r="H17" s="114">
        <v>125.06647101339797</v>
      </c>
      <c r="I17" s="2"/>
    </row>
    <row r="18" spans="1:9" x14ac:dyDescent="0.2">
      <c r="A18" s="26" t="s">
        <v>58</v>
      </c>
      <c r="B18" s="114">
        <v>94.639225351887461</v>
      </c>
      <c r="C18" s="114">
        <v>2.1999999999999997</v>
      </c>
      <c r="D18" s="114">
        <v>0.95150410974562893</v>
      </c>
      <c r="E18" s="114">
        <v>17.888324198485364</v>
      </c>
      <c r="F18" s="114">
        <v>6.2235761048293501</v>
      </c>
      <c r="G18" s="114">
        <v>3.0344257824271259</v>
      </c>
      <c r="H18" s="114">
        <v>124.93705554737492</v>
      </c>
      <c r="I18" s="2"/>
    </row>
    <row r="19" spans="1:9" x14ac:dyDescent="0.2">
      <c r="A19" s="26" t="s">
        <v>59</v>
      </c>
      <c r="B19" s="114">
        <v>99.133410333280366</v>
      </c>
      <c r="C19" s="114">
        <v>2.25</v>
      </c>
      <c r="D19" s="114">
        <v>1.046156363578159</v>
      </c>
      <c r="E19" s="114">
        <v>19.318352948972517</v>
      </c>
      <c r="F19" s="114">
        <v>6.16754890096193</v>
      </c>
      <c r="G19" s="114">
        <v>3.4060708334977696</v>
      </c>
      <c r="H19" s="114">
        <v>131.32153938029074</v>
      </c>
      <c r="I19" s="2"/>
    </row>
    <row r="20" spans="1:9" x14ac:dyDescent="0.2">
      <c r="A20" s="26" t="s">
        <v>60</v>
      </c>
      <c r="B20" s="114">
        <v>103.0690681014236</v>
      </c>
      <c r="C20" s="114">
        <v>2.2799999999999998</v>
      </c>
      <c r="D20" s="114">
        <v>1.1401823566869269</v>
      </c>
      <c r="E20" s="114">
        <v>20.519289810431999</v>
      </c>
      <c r="F20" s="114">
        <v>6.3426000000000018</v>
      </c>
      <c r="G20" s="114">
        <v>3.5947886834788401</v>
      </c>
      <c r="H20" s="114">
        <v>136.94592895202135</v>
      </c>
      <c r="I20" s="2"/>
    </row>
    <row r="21" spans="1:9" x14ac:dyDescent="0.2">
      <c r="A21" s="26" t="s">
        <v>61</v>
      </c>
      <c r="B21" s="114">
        <v>106.47393204686756</v>
      </c>
      <c r="C21" s="114">
        <v>2.1</v>
      </c>
      <c r="D21" s="114">
        <v>1.2192398707581249</v>
      </c>
      <c r="E21" s="114">
        <v>21.225989688630456</v>
      </c>
      <c r="F21" s="114">
        <v>6.221359277357319</v>
      </c>
      <c r="G21" s="114">
        <v>3.6696726144787002</v>
      </c>
      <c r="H21" s="114">
        <v>140.91019349809218</v>
      </c>
      <c r="I21" s="2"/>
    </row>
    <row r="22" spans="1:9" x14ac:dyDescent="0.2">
      <c r="A22" s="26" t="s">
        <v>62</v>
      </c>
      <c r="B22" s="114">
        <v>109.00207446632635</v>
      </c>
      <c r="C22" s="114">
        <v>2</v>
      </c>
      <c r="D22" s="114">
        <v>1.303060308682809</v>
      </c>
      <c r="E22" s="114">
        <v>21.721514583005458</v>
      </c>
      <c r="F22" s="114">
        <v>6.2825940713922321</v>
      </c>
      <c r="G22" s="114">
        <v>3.6905660744633595</v>
      </c>
      <c r="H22" s="114">
        <v>143.99980950387018</v>
      </c>
      <c r="I22" s="2"/>
    </row>
    <row r="23" spans="1:9" x14ac:dyDescent="0.2">
      <c r="A23" s="26" t="s">
        <v>63</v>
      </c>
      <c r="B23" s="114">
        <v>114.57038728394315</v>
      </c>
      <c r="C23" s="114">
        <v>1.92</v>
      </c>
      <c r="D23" s="114">
        <v>1.3876023770577515</v>
      </c>
      <c r="E23" s="114">
        <v>22.773352000000006</v>
      </c>
      <c r="F23" s="114">
        <v>6.6898000000000017</v>
      </c>
      <c r="G23" s="114">
        <v>3.9515430523060093</v>
      </c>
      <c r="H23" s="114">
        <v>151.29268471330693</v>
      </c>
      <c r="I23" s="2"/>
    </row>
    <row r="24" spans="1:9" x14ac:dyDescent="0.2">
      <c r="A24" s="26" t="s">
        <v>64</v>
      </c>
      <c r="B24" s="114">
        <v>120.30375663095336</v>
      </c>
      <c r="C24" s="114">
        <v>1.9995789473684218</v>
      </c>
      <c r="D24" s="114">
        <v>1.4723527565489603</v>
      </c>
      <c r="E24" s="114">
        <v>23.729154468277223</v>
      </c>
      <c r="F24" s="114">
        <v>6.7273439252612182</v>
      </c>
      <c r="G24" s="114">
        <v>4.0459411014040487</v>
      </c>
      <c r="H24" s="114">
        <v>158.27812782981323</v>
      </c>
      <c r="I24" s="2"/>
    </row>
    <row r="25" spans="1:9" x14ac:dyDescent="0.2">
      <c r="A25" s="26" t="s">
        <v>65</v>
      </c>
      <c r="B25" s="114">
        <v>124.00315535868359</v>
      </c>
      <c r="C25" s="114">
        <v>1.7961400000000003</v>
      </c>
      <c r="D25" s="114">
        <v>1.5581906423593987</v>
      </c>
      <c r="E25" s="114">
        <v>23.903688336633518</v>
      </c>
      <c r="F25" s="114">
        <v>6.8426467987810824</v>
      </c>
      <c r="G25" s="114">
        <v>4.1295321116686674</v>
      </c>
      <c r="H25" s="114">
        <v>162.23335324812626</v>
      </c>
      <c r="I25" s="2"/>
    </row>
    <row r="26" spans="1:9" x14ac:dyDescent="0.2">
      <c r="A26" s="26" t="s">
        <v>66</v>
      </c>
      <c r="B26" s="114">
        <v>124.46855708007922</v>
      </c>
      <c r="C26" s="114">
        <v>1.6161869499999999</v>
      </c>
      <c r="D26" s="114">
        <v>1.5153985179402385</v>
      </c>
      <c r="E26" s="114">
        <v>23.302564071550727</v>
      </c>
      <c r="F26" s="114">
        <v>6.123656268154317</v>
      </c>
      <c r="G26" s="114">
        <v>4.0710950075828976</v>
      </c>
      <c r="H26" s="114">
        <v>161.0974578953074</v>
      </c>
      <c r="I26" s="2"/>
    </row>
    <row r="27" spans="1:9" x14ac:dyDescent="0.2">
      <c r="A27" s="26" t="s">
        <v>67</v>
      </c>
      <c r="B27" s="114">
        <v>127.18165257545809</v>
      </c>
      <c r="C27" s="114">
        <v>1.6137450752000002</v>
      </c>
      <c r="D27" s="114">
        <v>1.4845110802742099</v>
      </c>
      <c r="E27" s="114">
        <v>24.166780343255738</v>
      </c>
      <c r="F27" s="114">
        <v>5.9055639847430674</v>
      </c>
      <c r="G27" s="114">
        <v>4.1029068261765884</v>
      </c>
      <c r="H27" s="114">
        <v>164.45515988510769</v>
      </c>
      <c r="I27" s="2"/>
    </row>
    <row r="28" spans="1:9" x14ac:dyDescent="0.2">
      <c r="A28" s="26" t="s">
        <v>68</v>
      </c>
      <c r="B28" s="114">
        <v>131.33186319219959</v>
      </c>
      <c r="C28" s="114">
        <v>1.6155702809599997</v>
      </c>
      <c r="D28" s="114">
        <v>1.4929145222654119</v>
      </c>
      <c r="E28" s="114">
        <v>24.954369230769238</v>
      </c>
      <c r="F28" s="114">
        <v>5.8167405751445473</v>
      </c>
      <c r="G28" s="114">
        <v>4.3936450285552704</v>
      </c>
      <c r="H28" s="114">
        <v>169.60510282989404</v>
      </c>
      <c r="I28" s="2"/>
    </row>
    <row r="29" spans="1:9" x14ac:dyDescent="0.2">
      <c r="A29" s="26" t="s">
        <v>69</v>
      </c>
      <c r="B29" s="114">
        <v>134.90782115634028</v>
      </c>
      <c r="C29" s="114">
        <v>1.5912017353600003</v>
      </c>
      <c r="D29" s="114">
        <v>1.5491545255917232</v>
      </c>
      <c r="E29" s="114">
        <v>25.755926211615055</v>
      </c>
      <c r="F29" s="114">
        <v>6.0181875069758091</v>
      </c>
      <c r="G29" s="114">
        <v>4.5262869845132219</v>
      </c>
      <c r="H29" s="114">
        <v>174.34857812039607</v>
      </c>
      <c r="I29" s="2"/>
    </row>
    <row r="30" spans="1:9" x14ac:dyDescent="0.2">
      <c r="A30" s="26" t="s">
        <v>70</v>
      </c>
      <c r="B30" s="114">
        <v>139.37782559152754</v>
      </c>
      <c r="C30" s="114">
        <v>1.5748936186176001</v>
      </c>
      <c r="D30" s="114">
        <v>1.5945807730959036</v>
      </c>
      <c r="E30" s="114">
        <v>27.272608907548875</v>
      </c>
      <c r="F30" s="114">
        <v>6.3155689075551145</v>
      </c>
      <c r="G30" s="114">
        <v>4.8163370331782378</v>
      </c>
      <c r="H30" s="114">
        <v>180.95181483152328</v>
      </c>
      <c r="I30" s="2"/>
    </row>
    <row r="31" spans="1:9" x14ac:dyDescent="0.2">
      <c r="A31" s="26" t="s">
        <v>71</v>
      </c>
      <c r="B31" s="114">
        <v>141.59118771497469</v>
      </c>
      <c r="C31" s="114">
        <v>1.5247131233715838</v>
      </c>
      <c r="D31" s="114">
        <v>1.643502254772675</v>
      </c>
      <c r="E31" s="114">
        <v>28.276599253437858</v>
      </c>
      <c r="F31" s="114">
        <v>6.6548438217353523</v>
      </c>
      <c r="G31" s="114">
        <v>5.0164214812378169</v>
      </c>
      <c r="H31" s="114">
        <v>184.70726764952997</v>
      </c>
      <c r="I31" s="2"/>
    </row>
    <row r="32" spans="1:9" x14ac:dyDescent="0.2">
      <c r="A32" s="26" t="s">
        <v>72</v>
      </c>
      <c r="B32" s="114">
        <v>142.87437446878695</v>
      </c>
      <c r="C32" s="114">
        <v>1.5189728383108116</v>
      </c>
      <c r="D32" s="114">
        <v>1.6493387967710085</v>
      </c>
      <c r="E32" s="114">
        <v>28.651916685329581</v>
      </c>
      <c r="F32" s="114">
        <v>7.146874492193529</v>
      </c>
      <c r="G32" s="114">
        <v>5.2132242050741748</v>
      </c>
      <c r="H32" s="114">
        <v>187.05470148646606</v>
      </c>
      <c r="I32" s="2"/>
    </row>
    <row r="33" spans="1:9" x14ac:dyDescent="0.2">
      <c r="A33" s="26" t="s">
        <v>73</v>
      </c>
      <c r="B33" s="114">
        <v>144.51092978967193</v>
      </c>
      <c r="C33" s="114">
        <v>1.4611258039238149</v>
      </c>
      <c r="D33" s="114">
        <v>1.6891975641709054</v>
      </c>
      <c r="E33" s="114">
        <v>29.94186854805158</v>
      </c>
      <c r="F33" s="114">
        <v>7.2355899431041513</v>
      </c>
      <c r="G33" s="114">
        <v>5.4001964606379387</v>
      </c>
      <c r="H33" s="114">
        <v>190.23890810956033</v>
      </c>
      <c r="I33" s="2"/>
    </row>
    <row r="34" spans="1:9" x14ac:dyDescent="0.2">
      <c r="A34" s="26" t="s">
        <v>74</v>
      </c>
      <c r="B34" s="114">
        <v>148.0761195194616</v>
      </c>
      <c r="C34" s="114">
        <v>1.4047315461457817</v>
      </c>
      <c r="D34" s="114">
        <v>1.7105868101642381</v>
      </c>
      <c r="E34" s="114">
        <v>30.692012141850352</v>
      </c>
      <c r="F34" s="114">
        <v>7.1704583970900471</v>
      </c>
      <c r="G34" s="114">
        <v>5.5540462914743349</v>
      </c>
      <c r="H34" s="114">
        <v>194.60795470618632</v>
      </c>
      <c r="I34" s="2"/>
    </row>
    <row r="35" spans="1:9" x14ac:dyDescent="0.2">
      <c r="A35" s="26" t="s">
        <v>75</v>
      </c>
      <c r="B35" s="114">
        <v>151.1663310217651</v>
      </c>
      <c r="C35" s="114">
        <v>1.4216212791042433</v>
      </c>
      <c r="D35" s="114">
        <v>1.761122791577693</v>
      </c>
      <c r="E35" s="114">
        <v>31.329102897666402</v>
      </c>
      <c r="F35" s="114">
        <v>7.2880871228987791</v>
      </c>
      <c r="G35" s="114">
        <v>5.7018610943011865</v>
      </c>
      <c r="H35" s="114">
        <v>198.66812620731343</v>
      </c>
      <c r="I35" s="2"/>
    </row>
    <row r="36" spans="1:9" x14ac:dyDescent="0.2">
      <c r="A36" s="26" t="s">
        <v>76</v>
      </c>
      <c r="B36" s="114">
        <v>149.75375213213681</v>
      </c>
      <c r="C36" s="114">
        <v>1.4634240023579888</v>
      </c>
      <c r="D36" s="114">
        <v>1.8034575132855983</v>
      </c>
      <c r="E36" s="114">
        <v>31.703170926606077</v>
      </c>
      <c r="F36" s="114">
        <v>7.1673806818593508</v>
      </c>
      <c r="G36" s="114">
        <v>5.6221824357454953</v>
      </c>
      <c r="H36" s="114">
        <v>197.51336769199131</v>
      </c>
      <c r="I36" s="2"/>
    </row>
    <row r="37" spans="1:9" x14ac:dyDescent="0.2">
      <c r="A37" s="26" t="s">
        <v>77</v>
      </c>
      <c r="B37" s="114">
        <v>153.6303522999014</v>
      </c>
      <c r="C37" s="114">
        <v>1.551970234465692</v>
      </c>
      <c r="D37" s="114">
        <v>1.8208282719495104</v>
      </c>
      <c r="E37" s="114">
        <v>32.93618678285673</v>
      </c>
      <c r="F37" s="114">
        <v>7.442302440279704</v>
      </c>
      <c r="G37" s="114">
        <v>5.8064136595959139</v>
      </c>
      <c r="H37" s="114">
        <v>203.18805368904899</v>
      </c>
      <c r="I37" s="2"/>
    </row>
    <row r="38" spans="1:9" x14ac:dyDescent="0.2">
      <c r="A38" s="26" t="s">
        <v>78</v>
      </c>
      <c r="B38" s="114">
        <v>157.70672400717041</v>
      </c>
      <c r="C38" s="114">
        <v>1.5226022076696131</v>
      </c>
      <c r="D38" s="114">
        <v>1.8639438958787033</v>
      </c>
      <c r="E38" s="114">
        <v>34.016311213457321</v>
      </c>
      <c r="F38" s="114">
        <v>7.7008206408057447</v>
      </c>
      <c r="G38" s="114">
        <v>5.9713659139290822</v>
      </c>
      <c r="H38" s="114">
        <v>208.78176787891087</v>
      </c>
      <c r="I38" s="2"/>
    </row>
    <row r="39" spans="1:9" x14ac:dyDescent="0.2">
      <c r="A39" s="26" t="s">
        <v>79</v>
      </c>
      <c r="B39" s="114">
        <v>165.34747496783268</v>
      </c>
      <c r="C39" s="114">
        <v>1.5995704328709552</v>
      </c>
      <c r="D39" s="114">
        <v>1.8869789373447083</v>
      </c>
      <c r="E39" s="114">
        <v>35.15220725826795</v>
      </c>
      <c r="F39" s="114">
        <v>7.8457782439462633</v>
      </c>
      <c r="G39" s="114">
        <v>6.1636891697248233</v>
      </c>
      <c r="H39" s="114">
        <v>217.99569900998739</v>
      </c>
      <c r="I39" s="2"/>
    </row>
    <row r="40" spans="1:9" x14ac:dyDescent="0.2">
      <c r="A40" s="26" t="s">
        <v>80</v>
      </c>
      <c r="B40" s="114">
        <v>166.01712139387206</v>
      </c>
      <c r="C40" s="114">
        <v>1.7237572591580759</v>
      </c>
      <c r="D40" s="114">
        <v>1.9070793666164412</v>
      </c>
      <c r="E40" s="114">
        <v>35.384755292324613</v>
      </c>
      <c r="F40" s="114">
        <v>8.1017653565315761</v>
      </c>
      <c r="G40" s="114">
        <v>6.3160937989350074</v>
      </c>
      <c r="H40" s="114">
        <v>219.45057246743778</v>
      </c>
      <c r="I40" s="2"/>
    </row>
    <row r="41" spans="1:9" x14ac:dyDescent="0.2">
      <c r="A41" s="26" t="s">
        <v>81</v>
      </c>
      <c r="B41" s="114">
        <v>162.91406316410297</v>
      </c>
      <c r="C41" s="114">
        <v>1.8753089518709356</v>
      </c>
      <c r="D41" s="114">
        <v>1.9636770243136783</v>
      </c>
      <c r="E41" s="114">
        <v>36.280119429837058</v>
      </c>
      <c r="F41" s="114">
        <v>8.3899727845386067</v>
      </c>
      <c r="G41" s="114">
        <v>6.4649991986173312</v>
      </c>
      <c r="H41" s="114">
        <v>217.88814055328058</v>
      </c>
      <c r="I41" s="2"/>
    </row>
    <row r="42" spans="1:9" x14ac:dyDescent="0.2">
      <c r="A42" s="26" t="s">
        <v>82</v>
      </c>
      <c r="B42" s="114">
        <v>164.93577135113975</v>
      </c>
      <c r="C42" s="114">
        <v>2.0402003830989286</v>
      </c>
      <c r="D42" s="114">
        <v>2.0041194070877211</v>
      </c>
      <c r="E42" s="114">
        <v>37.636648920003879</v>
      </c>
      <c r="F42" s="114">
        <v>8.6165609552086195</v>
      </c>
      <c r="G42" s="114">
        <v>6.7221843753109987</v>
      </c>
      <c r="H42" s="114">
        <v>221.95548539184992</v>
      </c>
      <c r="I42" s="2"/>
    </row>
    <row r="43" spans="1:9" x14ac:dyDescent="0.2">
      <c r="A43" s="26" t="s">
        <v>83</v>
      </c>
      <c r="B43" s="114">
        <v>165.72667156745916</v>
      </c>
      <c r="C43" s="114">
        <v>2.201317563848658</v>
      </c>
      <c r="D43" s="114">
        <v>2.0584415376944936</v>
      </c>
      <c r="E43" s="114">
        <v>39.258380288875358</v>
      </c>
      <c r="F43" s="114">
        <v>8.8634260502910394</v>
      </c>
      <c r="G43" s="114">
        <v>6.9124473263809083</v>
      </c>
      <c r="H43" s="114">
        <v>225.02068433454963</v>
      </c>
      <c r="I43" s="2"/>
    </row>
    <row r="44" spans="1:9" x14ac:dyDescent="0.2">
      <c r="A44" s="26" t="s">
        <v>84</v>
      </c>
      <c r="B44" s="114">
        <v>165.0831567482121</v>
      </c>
      <c r="C44" s="114">
        <v>2.3166699437346576</v>
      </c>
      <c r="D44" s="114">
        <v>2.1356315800801102</v>
      </c>
      <c r="E44" s="114">
        <v>40.192917563368553</v>
      </c>
      <c r="F44" s="114">
        <v>8.7527884298268575</v>
      </c>
      <c r="G44" s="114">
        <v>6.8318952417938341</v>
      </c>
      <c r="H44" s="114">
        <v>225.31305950701613</v>
      </c>
      <c r="I44" s="2"/>
    </row>
    <row r="45" spans="1:9" x14ac:dyDescent="0.2">
      <c r="A45" s="26" t="s">
        <v>85</v>
      </c>
      <c r="B45" s="114">
        <v>166.13277461436093</v>
      </c>
      <c r="C45" s="114">
        <v>2.3904821159893932</v>
      </c>
      <c r="D45" s="114">
        <v>2.2016665730709195</v>
      </c>
      <c r="E45" s="114">
        <v>41.848226247214079</v>
      </c>
      <c r="F45" s="114">
        <v>8.9910616477802989</v>
      </c>
      <c r="G45" s="114">
        <v>6.9498997686332284</v>
      </c>
      <c r="H45" s="114">
        <v>228.51411096704885</v>
      </c>
      <c r="I45" s="2"/>
    </row>
    <row r="46" spans="1:9" x14ac:dyDescent="0.2">
      <c r="A46" s="26" t="s">
        <v>86</v>
      </c>
      <c r="B46" s="114">
        <v>167.94113553487341</v>
      </c>
      <c r="C46" s="114">
        <v>2.3441268697986342</v>
      </c>
      <c r="D46" s="114">
        <v>2.2686153979351933</v>
      </c>
      <c r="E46" s="114">
        <v>43.115437588941361</v>
      </c>
      <c r="F46" s="114">
        <v>9.2113865825681973</v>
      </c>
      <c r="G46" s="114">
        <v>7.2016643848345296</v>
      </c>
      <c r="H46" s="114">
        <v>232.08236635895133</v>
      </c>
      <c r="I46" s="2"/>
    </row>
    <row r="47" spans="1:9" x14ac:dyDescent="0.2">
      <c r="A47" s="26" t="s">
        <v>87</v>
      </c>
      <c r="B47" s="114">
        <v>169.41041999999999</v>
      </c>
      <c r="C47" s="114">
        <v>2.2788754187358204</v>
      </c>
      <c r="D47" s="114">
        <v>2.3527677981601967</v>
      </c>
      <c r="E47" s="114">
        <v>44.48498479218739</v>
      </c>
      <c r="F47" s="114">
        <v>9.4472188817903024</v>
      </c>
      <c r="G47" s="114">
        <v>7.4524303634600741</v>
      </c>
      <c r="H47" s="114">
        <v>235.42669725433376</v>
      </c>
      <c r="I47" s="2"/>
    </row>
    <row r="48" spans="1:9" x14ac:dyDescent="0.2">
      <c r="A48" s="26" t="s">
        <v>27</v>
      </c>
      <c r="B48" s="114">
        <v>172.91690999999997</v>
      </c>
      <c r="C48" s="114">
        <v>2.3304985250357184</v>
      </c>
      <c r="D48" s="114">
        <v>2.3928407141578498</v>
      </c>
      <c r="E48" s="114">
        <v>45.833945681897205</v>
      </c>
      <c r="F48" s="114">
        <v>9.6471627334150831</v>
      </c>
      <c r="G48" s="114">
        <v>7.6519884300792214</v>
      </c>
      <c r="H48" s="114">
        <v>240.77334608458506</v>
      </c>
      <c r="I48" s="2"/>
    </row>
    <row r="49" spans="1:9" x14ac:dyDescent="0.2">
      <c r="A49" s="26" t="s">
        <v>28</v>
      </c>
      <c r="B49" s="114">
        <v>175.61420999999999</v>
      </c>
      <c r="C49" s="114">
        <v>2.3774129911619886</v>
      </c>
      <c r="D49" s="114">
        <v>2.4320142553961714</v>
      </c>
      <c r="E49" s="114">
        <v>47.087322346875204</v>
      </c>
      <c r="F49" s="114">
        <v>9.8425692407477321</v>
      </c>
      <c r="G49" s="114">
        <v>7.842689661385764</v>
      </c>
      <c r="H49" s="114">
        <v>245.19621849556685</v>
      </c>
      <c r="I49" s="2"/>
    </row>
    <row r="50" spans="1:9" x14ac:dyDescent="0.2">
      <c r="A50" s="26" t="s">
        <v>29</v>
      </c>
      <c r="B50" s="114">
        <v>177.61405999999997</v>
      </c>
      <c r="C50" s="114">
        <v>2.4131818379855465</v>
      </c>
      <c r="D50" s="114">
        <v>2.4410906782953115</v>
      </c>
      <c r="E50" s="114">
        <v>48.481557486423107</v>
      </c>
      <c r="F50" s="114">
        <v>10.032973427329338</v>
      </c>
      <c r="G50" s="114">
        <v>7.9451899100731636</v>
      </c>
      <c r="H50" s="114">
        <v>248.92805334010643</v>
      </c>
      <c r="I50" s="2"/>
    </row>
    <row r="51" spans="1:9" x14ac:dyDescent="0.2">
      <c r="A51" s="26" t="s">
        <v>30</v>
      </c>
      <c r="B51" s="114">
        <v>178.60257999999999</v>
      </c>
      <c r="C51" s="114">
        <v>2.4540728110326802</v>
      </c>
      <c r="D51" s="114">
        <v>2.4634508559200343</v>
      </c>
      <c r="E51" s="114">
        <v>50.113789556975618</v>
      </c>
      <c r="F51" s="114">
        <v>10.300499641370052</v>
      </c>
      <c r="G51" s="114">
        <v>8.0308304258810796</v>
      </c>
      <c r="H51" s="114">
        <v>251.96522329117946</v>
      </c>
      <c r="I51" s="2"/>
    </row>
    <row r="52" spans="1:9" x14ac:dyDescent="0.2">
      <c r="A52" s="26" t="s">
        <v>31</v>
      </c>
      <c r="B52" s="114">
        <v>179.38855000000001</v>
      </c>
      <c r="C52" s="114">
        <v>2.4686956135574816</v>
      </c>
      <c r="D52" s="114">
        <v>2.4744238980900457</v>
      </c>
      <c r="E52" s="114">
        <v>51.95044660397042</v>
      </c>
      <c r="F52" s="114">
        <v>10.5350794912944</v>
      </c>
      <c r="G52" s="114">
        <v>8.123150506705807</v>
      </c>
      <c r="H52" s="114">
        <v>254.94034611361815</v>
      </c>
      <c r="I52" s="2"/>
    </row>
    <row r="53" spans="1:9" x14ac:dyDescent="0.2">
      <c r="A53" s="26" t="s">
        <v>32</v>
      </c>
      <c r="B53" s="114">
        <v>179.78721999999999</v>
      </c>
      <c r="C53" s="114">
        <v>2.457883713726515</v>
      </c>
      <c r="D53" s="114">
        <v>2.5079142200617976</v>
      </c>
      <c r="E53" s="114">
        <v>54.003938380580578</v>
      </c>
      <c r="F53" s="114">
        <v>10.807191992793719</v>
      </c>
      <c r="G53" s="114">
        <v>8.2173232629138813</v>
      </c>
      <c r="H53" s="114">
        <v>257.78147157007652</v>
      </c>
      <c r="I53" s="2"/>
    </row>
    <row r="54" spans="1:9" ht="14.1" customHeight="1" x14ac:dyDescent="0.2">
      <c r="A54" s="26" t="s">
        <v>88</v>
      </c>
      <c r="B54" s="114">
        <v>178.57057264997084</v>
      </c>
      <c r="C54" s="114">
        <v>2.4370021215217395</v>
      </c>
      <c r="D54" s="114">
        <v>2.547669191567564</v>
      </c>
      <c r="E54" s="114">
        <v>54.388346479069241</v>
      </c>
      <c r="F54" s="114">
        <v>10.907137672420731</v>
      </c>
      <c r="G54" s="114">
        <v>8.3041751847647358</v>
      </c>
      <c r="H54" s="114">
        <v>257.15490329931487</v>
      </c>
      <c r="I54" s="2"/>
    </row>
    <row r="55" spans="1:9" ht="14.1" customHeight="1" x14ac:dyDescent="0.2">
      <c r="A55" s="26" t="s">
        <v>89</v>
      </c>
      <c r="B55" s="114">
        <v>165.05210165573206</v>
      </c>
      <c r="C55" s="114">
        <v>2.1291491860208542</v>
      </c>
      <c r="D55" s="114">
        <v>2.2998379219140794</v>
      </c>
      <c r="E55" s="114">
        <v>53.881924447834429</v>
      </c>
      <c r="F55" s="114">
        <v>11.13586126773928</v>
      </c>
      <c r="G55" s="114">
        <v>8.3816047275977699</v>
      </c>
      <c r="H55" s="114">
        <v>242.88047920683846</v>
      </c>
      <c r="I55" s="2"/>
    </row>
    <row r="56" spans="1:9" ht="14.1" customHeight="1" x14ac:dyDescent="0.2">
      <c r="A56" s="26" t="s">
        <v>90</v>
      </c>
      <c r="B56" s="114">
        <v>165.77344351800585</v>
      </c>
      <c r="C56" s="114">
        <v>2.2121335989644999</v>
      </c>
      <c r="D56" s="114">
        <v>2.2031551402628984</v>
      </c>
      <c r="E56" s="114">
        <v>54.781329231170858</v>
      </c>
      <c r="F56" s="114">
        <v>11.342191440521043</v>
      </c>
      <c r="G56" s="114">
        <v>8.4750987272042391</v>
      </c>
      <c r="H56" s="114">
        <v>244.78735165612937</v>
      </c>
      <c r="I56" s="2"/>
    </row>
    <row r="57" spans="1:9" ht="14.1" customHeight="1" x14ac:dyDescent="0.2">
      <c r="A57" s="26" t="s">
        <v>183</v>
      </c>
      <c r="B57" s="114">
        <v>158.99968339253752</v>
      </c>
      <c r="C57" s="114">
        <v>2.2944547168225533</v>
      </c>
      <c r="D57" s="114">
        <v>2.2100412263186784</v>
      </c>
      <c r="E57" s="114">
        <v>56.262971364966297</v>
      </c>
      <c r="F57" s="114">
        <v>11.632597311903732</v>
      </c>
      <c r="G57" s="114">
        <v>8.6114561181592695</v>
      </c>
      <c r="H57" s="114">
        <v>240.01120413070805</v>
      </c>
      <c r="I57" s="2"/>
    </row>
    <row r="58" spans="1:9" ht="14.1" customHeight="1" x14ac:dyDescent="0.2">
      <c r="A58" s="26" t="s">
        <v>184</v>
      </c>
      <c r="B58" s="114">
        <v>170.50572060549786</v>
      </c>
      <c r="C58" s="114">
        <v>2.3639176742632584</v>
      </c>
      <c r="D58" s="114">
        <v>2.3302079462120648</v>
      </c>
      <c r="E58" s="114">
        <v>57.951024612631926</v>
      </c>
      <c r="F58" s="114">
        <v>12.00243434439089</v>
      </c>
      <c r="G58" s="114">
        <v>8.8094016262770776</v>
      </c>
      <c r="H58" s="114">
        <v>253.96270680927304</v>
      </c>
      <c r="I58" s="2"/>
    </row>
    <row r="59" spans="1:9" ht="14.1" customHeight="1" x14ac:dyDescent="0.2">
      <c r="A59" s="26" t="s">
        <v>209</v>
      </c>
      <c r="B59" s="114">
        <v>174.32141141855521</v>
      </c>
      <c r="C59" s="114">
        <v>2.3926599838989064</v>
      </c>
      <c r="D59" s="114">
        <v>2.3697915816375437</v>
      </c>
      <c r="E59" s="114">
        <v>59.466691139675319</v>
      </c>
      <c r="F59" s="114">
        <v>12.320385418952476</v>
      </c>
      <c r="G59" s="114">
        <v>9.0415646549449171</v>
      </c>
      <c r="H59" s="114">
        <v>259.91250419766436</v>
      </c>
      <c r="I59" s="2"/>
    </row>
    <row r="60" spans="1:9" ht="14.1" customHeight="1" x14ac:dyDescent="0.2">
      <c r="A60" s="30" t="s">
        <v>223</v>
      </c>
      <c r="B60" s="113">
        <v>177.27924767122551</v>
      </c>
      <c r="C60" s="113">
        <v>2.4139266491303113</v>
      </c>
      <c r="D60" s="113">
        <v>2.4103008884692994</v>
      </c>
      <c r="E60" s="113">
        <v>60.472714426560486</v>
      </c>
      <c r="F60" s="113">
        <v>12.466861806903831</v>
      </c>
      <c r="G60" s="113">
        <v>9.141119067684695</v>
      </c>
      <c r="H60" s="113">
        <v>264.18417050997414</v>
      </c>
      <c r="I60" s="2"/>
    </row>
    <row r="61" spans="1:9" ht="14.1" customHeight="1" x14ac:dyDescent="0.2">
      <c r="A61" s="19" t="s">
        <v>307</v>
      </c>
      <c r="B61" s="114"/>
      <c r="C61" s="114"/>
      <c r="D61" s="114"/>
      <c r="E61" s="114"/>
      <c r="F61" s="114"/>
      <c r="G61" s="114"/>
      <c r="H61" s="114"/>
    </row>
    <row r="62" spans="1:9" ht="14.1" customHeight="1" x14ac:dyDescent="0.2">
      <c r="A62" s="139" t="s">
        <v>290</v>
      </c>
      <c r="B62" s="2"/>
      <c r="C62" s="2"/>
      <c r="D62" s="2"/>
      <c r="E62" s="2"/>
      <c r="F62" s="2"/>
      <c r="G62" s="2"/>
      <c r="H62" s="2"/>
    </row>
    <row r="63" spans="1:9" ht="14.1" customHeight="1" x14ac:dyDescent="0.2">
      <c r="A63" s="196" t="s">
        <v>91</v>
      </c>
      <c r="B63" s="196"/>
      <c r="C63" s="196"/>
      <c r="D63" s="196"/>
      <c r="E63" s="196"/>
      <c r="F63" s="196"/>
      <c r="G63" s="196"/>
      <c r="H63" s="196"/>
    </row>
  </sheetData>
  <mergeCells count="2">
    <mergeCell ref="B5:H5"/>
    <mergeCell ref="A63:H63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64"/>
  <sheetViews>
    <sheetView workbookViewId="0">
      <pane xSplit="1" ySplit="5" topLeftCell="B46" activePane="bottomRight" state="frozen"/>
      <selection pane="topRight" activeCell="B1" sqref="B1"/>
      <selection pane="bottomLeft" activeCell="A6" sqref="A6"/>
      <selection pane="bottomRight" activeCell="K6" sqref="K6:K60"/>
    </sheetView>
  </sheetViews>
  <sheetFormatPr defaultColWidth="9.140625" defaultRowHeight="12.75" x14ac:dyDescent="0.2"/>
  <cols>
    <col min="1" max="1" width="8.7109375" style="8" customWidth="1"/>
    <col min="2" max="10" width="8.7109375" style="5" customWidth="1"/>
    <col min="11" max="16384" width="9.140625" style="5"/>
  </cols>
  <sheetData>
    <row r="1" spans="1:34" x14ac:dyDescent="0.2">
      <c r="A1" s="4"/>
    </row>
    <row r="2" spans="1:34" x14ac:dyDescent="0.2">
      <c r="A2" s="6" t="s">
        <v>365</v>
      </c>
      <c r="B2" s="7"/>
      <c r="C2" s="7"/>
      <c r="D2" s="7"/>
      <c r="E2" s="7"/>
      <c r="F2" s="7"/>
      <c r="G2" s="7"/>
      <c r="H2" s="197"/>
      <c r="I2" s="197"/>
      <c r="J2" s="7"/>
    </row>
    <row r="3" spans="1:34" x14ac:dyDescent="0.2">
      <c r="A3" s="198" t="s">
        <v>38</v>
      </c>
    </row>
    <row r="4" spans="1:34" x14ac:dyDescent="0.2">
      <c r="A4" s="199"/>
      <c r="B4" s="9" t="s">
        <v>20</v>
      </c>
      <c r="C4" s="9" t="s">
        <v>34</v>
      </c>
      <c r="D4" s="9" t="s">
        <v>33</v>
      </c>
      <c r="E4" s="9" t="s">
        <v>23</v>
      </c>
      <c r="F4" s="9" t="s">
        <v>24</v>
      </c>
      <c r="G4" s="9" t="s">
        <v>92</v>
      </c>
      <c r="H4" s="9" t="s">
        <v>26</v>
      </c>
      <c r="I4" s="9" t="s">
        <v>93</v>
      </c>
      <c r="J4" s="9" t="s">
        <v>7</v>
      </c>
    </row>
    <row r="5" spans="1:34" x14ac:dyDescent="0.2">
      <c r="A5" s="6"/>
      <c r="B5" s="200" t="s">
        <v>45</v>
      </c>
      <c r="C5" s="200"/>
      <c r="D5" s="200"/>
      <c r="E5" s="200"/>
      <c r="F5" s="200"/>
      <c r="G5" s="200"/>
      <c r="H5" s="200"/>
      <c r="I5" s="200"/>
      <c r="J5" s="200"/>
      <c r="AA5" s="2"/>
      <c r="AB5" s="2"/>
      <c r="AC5" s="2"/>
      <c r="AD5" s="2"/>
      <c r="AE5" s="2"/>
      <c r="AF5" s="2"/>
      <c r="AG5" s="2"/>
      <c r="AH5" s="2"/>
    </row>
    <row r="6" spans="1:34" x14ac:dyDescent="0.2">
      <c r="A6" s="110" t="s">
        <v>46</v>
      </c>
      <c r="B6" s="2">
        <v>27.756115424554327</v>
      </c>
      <c r="C6" s="2">
        <v>21.451492494014161</v>
      </c>
      <c r="D6" s="2">
        <v>10.765633643371237</v>
      </c>
      <c r="E6" s="2">
        <v>7.4172562619020841</v>
      </c>
      <c r="F6" s="2">
        <v>7.4902993850562032</v>
      </c>
      <c r="G6" s="2">
        <v>2.3014055924382912</v>
      </c>
      <c r="H6" s="2">
        <v>0.5082503890199872</v>
      </c>
      <c r="I6" s="2">
        <v>0.9149793354740261</v>
      </c>
      <c r="J6" s="2">
        <v>78.605432525830324</v>
      </c>
      <c r="K6" s="2"/>
      <c r="O6" s="2"/>
      <c r="P6" s="2"/>
      <c r="Q6" s="2"/>
      <c r="R6" s="2"/>
      <c r="S6" s="2"/>
      <c r="T6" s="2"/>
      <c r="U6" s="2"/>
      <c r="V6" s="2"/>
      <c r="W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">
      <c r="A7" s="26" t="s">
        <v>47</v>
      </c>
      <c r="B7" s="2">
        <v>29.305472266256157</v>
      </c>
      <c r="C7" s="2">
        <v>22.784834826651405</v>
      </c>
      <c r="D7" s="2">
        <v>11.520439058844214</v>
      </c>
      <c r="E7" s="2">
        <v>7.7615743873650986</v>
      </c>
      <c r="F7" s="2">
        <v>8.0386381828157738</v>
      </c>
      <c r="G7" s="2">
        <v>2.4222965032287007</v>
      </c>
      <c r="H7" s="2">
        <v>0.56906373587848169</v>
      </c>
      <c r="I7" s="2">
        <v>1.023206817743731</v>
      </c>
      <c r="J7" s="2">
        <v>83.42552577878358</v>
      </c>
      <c r="K7" s="2"/>
      <c r="O7" s="2"/>
      <c r="P7" s="2"/>
      <c r="Q7" s="2"/>
      <c r="R7" s="2"/>
      <c r="S7" s="2"/>
      <c r="T7" s="2"/>
      <c r="U7" s="2"/>
      <c r="V7" s="2"/>
      <c r="W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">
      <c r="A8" s="26" t="s">
        <v>48</v>
      </c>
      <c r="B8" s="2">
        <v>30.238484899250992</v>
      </c>
      <c r="C8" s="2">
        <v>23.652049641708032</v>
      </c>
      <c r="D8" s="2">
        <v>12.166280754486241</v>
      </c>
      <c r="E8" s="2">
        <v>8.0029469402485827</v>
      </c>
      <c r="F8" s="2">
        <v>8.4284845249394813</v>
      </c>
      <c r="G8" s="2">
        <v>2.496679448996578</v>
      </c>
      <c r="H8" s="2">
        <v>0.6137212778192247</v>
      </c>
      <c r="I8" s="2">
        <v>1.1236340967053697</v>
      </c>
      <c r="J8" s="2">
        <v>86.722281584154487</v>
      </c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">
      <c r="A9" s="26" t="s">
        <v>49</v>
      </c>
      <c r="B9" s="2">
        <v>31.993151829601331</v>
      </c>
      <c r="C9" s="2">
        <v>25.241588998318271</v>
      </c>
      <c r="D9" s="2">
        <v>13.233269622153795</v>
      </c>
      <c r="E9" s="2">
        <v>8.606580927375159</v>
      </c>
      <c r="F9" s="2">
        <v>9.0985763972830309</v>
      </c>
      <c r="G9" s="2">
        <v>2.6525347051097747</v>
      </c>
      <c r="H9" s="2">
        <v>0.67886024747840568</v>
      </c>
      <c r="I9" s="2">
        <v>1.2586394231877802</v>
      </c>
      <c r="J9" s="2">
        <v>92.763202150507539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">
      <c r="A10" s="26" t="s">
        <v>50</v>
      </c>
      <c r="B10" s="2">
        <v>33.179106166509236</v>
      </c>
      <c r="C10" s="2">
        <v>26.379231155543827</v>
      </c>
      <c r="D10" s="2">
        <v>14.110196062028766</v>
      </c>
      <c r="E10" s="2">
        <v>9.0868417129955752</v>
      </c>
      <c r="F10" s="2">
        <v>9.6499667171862029</v>
      </c>
      <c r="G10" s="2">
        <v>2.7432789512750704</v>
      </c>
      <c r="H10" s="2">
        <v>0.67198479530238575</v>
      </c>
      <c r="I10" s="2">
        <v>1.3716250928986544</v>
      </c>
      <c r="J10" s="2">
        <v>97.192230653739713</v>
      </c>
      <c r="K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">
      <c r="A11" s="26" t="s">
        <v>51</v>
      </c>
      <c r="B11" s="2">
        <v>33.998166272940324</v>
      </c>
      <c r="C11" s="2">
        <v>27.477748895243288</v>
      </c>
      <c r="D11" s="2">
        <v>14.947973798590191</v>
      </c>
      <c r="E11" s="2">
        <v>9.4906997541733737</v>
      </c>
      <c r="F11" s="2">
        <v>10.172897573843894</v>
      </c>
      <c r="G11" s="2">
        <v>2.8189040493867741</v>
      </c>
      <c r="H11" s="2">
        <v>0.74927340410629983</v>
      </c>
      <c r="I11" s="2">
        <v>1.4673861274348663</v>
      </c>
      <c r="J11" s="2">
        <v>101.12304987571902</v>
      </c>
      <c r="K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">
      <c r="A12" s="26" t="s">
        <v>52</v>
      </c>
      <c r="B12" s="2">
        <v>35.597876569814041</v>
      </c>
      <c r="C12" s="2">
        <v>28.962806122394298</v>
      </c>
      <c r="D12" s="2">
        <v>15.840152194980263</v>
      </c>
      <c r="E12" s="2">
        <v>9.9832769185024901</v>
      </c>
      <c r="F12" s="2">
        <v>10.907563096518858</v>
      </c>
      <c r="G12" s="2">
        <v>2.9478483780043887</v>
      </c>
      <c r="H12" s="2">
        <v>0.83790950198693004</v>
      </c>
      <c r="I12" s="2">
        <v>1.5663326410038561</v>
      </c>
      <c r="J12" s="2">
        <v>106.64376542320511</v>
      </c>
      <c r="K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">
      <c r="A13" s="26" t="s">
        <v>53</v>
      </c>
      <c r="B13" s="2">
        <v>36.772088183767565</v>
      </c>
      <c r="C13" s="2">
        <v>30.047726024924216</v>
      </c>
      <c r="D13" s="2">
        <v>16.704318553690403</v>
      </c>
      <c r="E13" s="2">
        <v>10.290482251615011</v>
      </c>
      <c r="F13" s="2">
        <v>11.488971983562799</v>
      </c>
      <c r="G13" s="2">
        <v>3.0660080473990288</v>
      </c>
      <c r="H13" s="2">
        <v>0.89192227698611615</v>
      </c>
      <c r="I13" s="2">
        <v>1.6386911411576275</v>
      </c>
      <c r="J13" s="2">
        <v>110.90020846310276</v>
      </c>
      <c r="K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">
      <c r="A14" s="26" t="s">
        <v>54</v>
      </c>
      <c r="B14" s="2">
        <v>38.12043850399661</v>
      </c>
      <c r="C14" s="2">
        <v>30.756087840645861</v>
      </c>
      <c r="D14" s="2">
        <v>17.557377113584735</v>
      </c>
      <c r="E14" s="2">
        <v>10.401379793264594</v>
      </c>
      <c r="F14" s="2">
        <v>11.842293356836418</v>
      </c>
      <c r="G14" s="2">
        <v>3.1461137375684607</v>
      </c>
      <c r="H14" s="2">
        <v>0.94332844876846744</v>
      </c>
      <c r="I14" s="2">
        <v>1.6975208871391521</v>
      </c>
      <c r="J14" s="2">
        <v>114.4645396818043</v>
      </c>
      <c r="K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">
      <c r="A15" s="26" t="s">
        <v>55</v>
      </c>
      <c r="B15" s="2">
        <v>38.828991407631896</v>
      </c>
      <c r="C15" s="2">
        <v>30.833345116894957</v>
      </c>
      <c r="D15" s="2">
        <v>18.181927209127707</v>
      </c>
      <c r="E15" s="2">
        <v>10.282795032884763</v>
      </c>
      <c r="F15" s="2">
        <v>11.967631460112351</v>
      </c>
      <c r="G15" s="2">
        <v>3.1607339797037257</v>
      </c>
      <c r="H15" s="2">
        <v>0.98943649408156564</v>
      </c>
      <c r="I15" s="2">
        <v>1.7213158243457845</v>
      </c>
      <c r="J15" s="2">
        <v>115.96617652478272</v>
      </c>
      <c r="K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">
      <c r="A16" s="26" t="s">
        <v>56</v>
      </c>
      <c r="B16" s="2">
        <v>39.900677339009931</v>
      </c>
      <c r="C16" s="2">
        <v>31.299130471155415</v>
      </c>
      <c r="D16" s="2">
        <v>19.118399838854366</v>
      </c>
      <c r="E16" s="2">
        <v>10.266813697657344</v>
      </c>
      <c r="F16" s="2">
        <v>12.163112579621636</v>
      </c>
      <c r="G16" s="2">
        <v>3.1931632004390345</v>
      </c>
      <c r="H16" s="2">
        <v>1.0440568471031861</v>
      </c>
      <c r="I16" s="2">
        <v>1.7551316587734196</v>
      </c>
      <c r="J16" s="2">
        <v>118.74048563261434</v>
      </c>
      <c r="K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">
      <c r="A17" s="26" t="s">
        <v>57</v>
      </c>
      <c r="B17" s="2">
        <v>41.720637776054438</v>
      </c>
      <c r="C17" s="2">
        <v>32.985262911477719</v>
      </c>
      <c r="D17" s="2">
        <v>20.597454075718581</v>
      </c>
      <c r="E17" s="2">
        <v>10.68167405429929</v>
      </c>
      <c r="F17" s="2">
        <v>12.789315476329243</v>
      </c>
      <c r="G17" s="2">
        <v>3.3159029866858236</v>
      </c>
      <c r="H17" s="2">
        <v>1.1157701900861632</v>
      </c>
      <c r="I17" s="2">
        <v>1.8604535427467086</v>
      </c>
      <c r="J17" s="2">
        <v>125.066471013398</v>
      </c>
      <c r="K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x14ac:dyDescent="0.2">
      <c r="A18" s="26" t="s">
        <v>58</v>
      </c>
      <c r="B18" s="2">
        <v>41.176024482682962</v>
      </c>
      <c r="C18" s="2">
        <v>33.145108949171146</v>
      </c>
      <c r="D18" s="2">
        <v>20.846869921686984</v>
      </c>
      <c r="E18" s="2">
        <v>10.694294305741012</v>
      </c>
      <c r="F18" s="2">
        <v>12.729781362542258</v>
      </c>
      <c r="G18" s="2">
        <v>3.3345962787464947</v>
      </c>
      <c r="H18" s="2">
        <v>1.1252008216142453</v>
      </c>
      <c r="I18" s="2">
        <v>1.8851794251898197</v>
      </c>
      <c r="J18" s="2">
        <v>124.93705554737491</v>
      </c>
      <c r="K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x14ac:dyDescent="0.2">
      <c r="A19" s="26" t="s">
        <v>59</v>
      </c>
      <c r="B19" s="2">
        <v>43.232104452475788</v>
      </c>
      <c r="C19" s="2">
        <v>34.727517452890375</v>
      </c>
      <c r="D19" s="2">
        <v>21.906652259977054</v>
      </c>
      <c r="E19" s="2">
        <v>11.281995838036746</v>
      </c>
      <c r="F19" s="2">
        <v>13.452501423101626</v>
      </c>
      <c r="G19" s="2">
        <v>3.5208177918984518</v>
      </c>
      <c r="H19" s="2">
        <v>1.2079129416560406</v>
      </c>
      <c r="I19" s="2">
        <v>1.9920372202546865</v>
      </c>
      <c r="J19" s="2">
        <v>131.32153938029077</v>
      </c>
      <c r="K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x14ac:dyDescent="0.2">
      <c r="A20" s="26" t="s">
        <v>60</v>
      </c>
      <c r="B20" s="2">
        <v>45.106671082705958</v>
      </c>
      <c r="C20" s="2">
        <v>36.222249842202565</v>
      </c>
      <c r="D20" s="2">
        <v>22.793921115301785</v>
      </c>
      <c r="E20" s="2">
        <v>11.800024161363913</v>
      </c>
      <c r="F20" s="2">
        <v>13.941627173647896</v>
      </c>
      <c r="G20" s="2">
        <v>3.6949926215680651</v>
      </c>
      <c r="H20" s="2">
        <v>1.2835650627259927</v>
      </c>
      <c r="I20" s="2">
        <v>2.1028778925051705</v>
      </c>
      <c r="J20" s="2">
        <v>136.94592895202135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x14ac:dyDescent="0.2">
      <c r="A21" s="26" t="s">
        <v>61</v>
      </c>
      <c r="B21" s="2">
        <v>46.032755064414445</v>
      </c>
      <c r="C21" s="2">
        <v>37.465889096233596</v>
      </c>
      <c r="D21" s="2">
        <v>23.588500905268667</v>
      </c>
      <c r="E21" s="2">
        <v>12.144866279599043</v>
      </c>
      <c r="F21" s="2">
        <v>14.348792711854735</v>
      </c>
      <c r="G21" s="2">
        <v>3.7882213350370337</v>
      </c>
      <c r="H21" s="2">
        <v>1.3401167382129215</v>
      </c>
      <c r="I21" s="2">
        <v>2.2010513674717451</v>
      </c>
      <c r="J21" s="2">
        <v>140.91019349809216</v>
      </c>
      <c r="K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x14ac:dyDescent="0.2">
      <c r="A22" s="26" t="s">
        <v>62</v>
      </c>
      <c r="B22" s="2">
        <v>46.704287721656314</v>
      </c>
      <c r="C22" s="2">
        <v>38.627977162858137</v>
      </c>
      <c r="D22" s="2">
        <v>24.199630536538123</v>
      </c>
      <c r="E22" s="2">
        <v>12.362655113182294</v>
      </c>
      <c r="F22" s="2">
        <v>14.655143379839519</v>
      </c>
      <c r="G22" s="2">
        <v>3.8157018150425968</v>
      </c>
      <c r="H22" s="2">
        <v>1.3633297734116971</v>
      </c>
      <c r="I22" s="2">
        <v>2.2710840013415372</v>
      </c>
      <c r="J22" s="2">
        <v>143.99980950387021</v>
      </c>
      <c r="K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x14ac:dyDescent="0.2">
      <c r="A23" s="26" t="s">
        <v>63</v>
      </c>
      <c r="B23" s="2">
        <v>48.648552226033907</v>
      </c>
      <c r="C23" s="2">
        <v>40.917002099318452</v>
      </c>
      <c r="D23" s="2">
        <v>25.651812534283039</v>
      </c>
      <c r="E23" s="2">
        <v>12.870569272293743</v>
      </c>
      <c r="F23" s="2">
        <v>15.432292923801562</v>
      </c>
      <c r="G23" s="2">
        <v>3.9654176810857198</v>
      </c>
      <c r="H23" s="2">
        <v>1.4015053169438025</v>
      </c>
      <c r="I23" s="2">
        <v>2.4055326595467039</v>
      </c>
      <c r="J23" s="2">
        <v>151.29268471330693</v>
      </c>
      <c r="K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2">
      <c r="A24" s="26" t="s">
        <v>64</v>
      </c>
      <c r="B24" s="2">
        <v>50.418274621833554</v>
      </c>
      <c r="C24" s="2">
        <v>42.991758014725917</v>
      </c>
      <c r="D24" s="2">
        <v>27.291959364271634</v>
      </c>
      <c r="E24" s="2">
        <v>13.323970828712113</v>
      </c>
      <c r="F24" s="2">
        <v>16.163994304316255</v>
      </c>
      <c r="G24" s="2">
        <v>4.1244592827783935</v>
      </c>
      <c r="H24" s="2">
        <v>1.4231198856334428</v>
      </c>
      <c r="I24" s="2">
        <v>2.5405915275419431</v>
      </c>
      <c r="J24" s="2">
        <v>158.27812782981323</v>
      </c>
      <c r="K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x14ac:dyDescent="0.2">
      <c r="A25" s="26" t="s">
        <v>65</v>
      </c>
      <c r="B25" s="2">
        <v>51.484251759677996</v>
      </c>
      <c r="C25" s="2">
        <v>44.023119437285047</v>
      </c>
      <c r="D25" s="2">
        <v>28.217440623354268</v>
      </c>
      <c r="E25" s="2">
        <v>13.513792169658622</v>
      </c>
      <c r="F25" s="2">
        <v>16.626484627977629</v>
      </c>
      <c r="G25" s="2">
        <v>4.2754355762766156</v>
      </c>
      <c r="H25" s="2">
        <v>1.4497749721881865</v>
      </c>
      <c r="I25" s="2">
        <v>2.6430540817079073</v>
      </c>
      <c r="J25" s="2">
        <v>162.23335324812624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x14ac:dyDescent="0.2">
      <c r="A26" s="26" t="s">
        <v>66</v>
      </c>
      <c r="B26" s="2">
        <v>50.932940131826072</v>
      </c>
      <c r="C26" s="2">
        <v>43.536105046817539</v>
      </c>
      <c r="D26" s="2">
        <v>28.486312925579995</v>
      </c>
      <c r="E26" s="2">
        <v>13.303239708350535</v>
      </c>
      <c r="F26" s="2">
        <v>16.478087898857471</v>
      </c>
      <c r="G26" s="2">
        <v>4.2597920277479506</v>
      </c>
      <c r="H26" s="2">
        <v>1.4313781130578875</v>
      </c>
      <c r="I26" s="2">
        <v>2.6696020430699581</v>
      </c>
      <c r="J26" s="2">
        <v>161.09745789530743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2">
      <c r="A27" s="26" t="s">
        <v>67</v>
      </c>
      <c r="B27" s="2">
        <v>51.802171401593839</v>
      </c>
      <c r="C27" s="2">
        <v>44.197749018798739</v>
      </c>
      <c r="D27" s="2">
        <v>29.731073144713328</v>
      </c>
      <c r="E27" s="2">
        <v>13.428336142371297</v>
      </c>
      <c r="F27" s="2">
        <v>16.742235433940373</v>
      </c>
      <c r="G27" s="2">
        <v>4.3383033963066602</v>
      </c>
      <c r="H27" s="2">
        <v>1.4600676780112372</v>
      </c>
      <c r="I27" s="2">
        <v>2.7552236693722203</v>
      </c>
      <c r="J27" s="2">
        <v>164.45515988510769</v>
      </c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2">
      <c r="A28" s="26" t="s">
        <v>68</v>
      </c>
      <c r="B28" s="2">
        <v>53.382325253350274</v>
      </c>
      <c r="C28" s="2">
        <v>45.127351990317052</v>
      </c>
      <c r="D28" s="2">
        <v>31.296718998448839</v>
      </c>
      <c r="E28" s="2">
        <v>13.694058356576544</v>
      </c>
      <c r="F28" s="2">
        <v>17.251115026489511</v>
      </c>
      <c r="G28" s="2">
        <v>4.4932704883361332</v>
      </c>
      <c r="H28" s="2">
        <v>1.4950425260899327</v>
      </c>
      <c r="I28" s="2">
        <v>2.8652201902857728</v>
      </c>
      <c r="J28" s="2">
        <v>169.60510282989407</v>
      </c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2">
      <c r="A29" s="26" t="s">
        <v>69</v>
      </c>
      <c r="B29" s="2">
        <v>54.815940305099829</v>
      </c>
      <c r="C29" s="2">
        <v>46.055943095149644</v>
      </c>
      <c r="D29" s="2">
        <v>32.552283803430576</v>
      </c>
      <c r="E29" s="2">
        <v>13.770972706546138</v>
      </c>
      <c r="F29" s="2">
        <v>18.071928792400104</v>
      </c>
      <c r="G29" s="2">
        <v>4.5998038701133446</v>
      </c>
      <c r="H29" s="2">
        <v>1.5350394734967525</v>
      </c>
      <c r="I29" s="2">
        <v>2.9466660741596788</v>
      </c>
      <c r="J29" s="2">
        <v>174.34857812039607</v>
      </c>
      <c r="K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2">
      <c r="A30" s="26" t="s">
        <v>70</v>
      </c>
      <c r="B30" s="2">
        <v>56.7118850922988</v>
      </c>
      <c r="C30" s="2">
        <v>47.384410900305063</v>
      </c>
      <c r="D30" s="2">
        <v>34.308016716449508</v>
      </c>
      <c r="E30" s="2">
        <v>13.991802275215218</v>
      </c>
      <c r="F30" s="2">
        <v>19.165485900137291</v>
      </c>
      <c r="G30" s="2">
        <v>4.7273780328574491</v>
      </c>
      <c r="H30" s="2">
        <v>1.6247331248553201</v>
      </c>
      <c r="I30" s="2">
        <v>3.0381027894046295</v>
      </c>
      <c r="J30" s="2">
        <v>180.95181483152328</v>
      </c>
      <c r="K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2">
      <c r="A31" s="26" t="s">
        <v>71</v>
      </c>
      <c r="B31" s="2">
        <v>57.425747730412503</v>
      </c>
      <c r="C31" s="2">
        <v>48.447341350413325</v>
      </c>
      <c r="D31" s="2">
        <v>35.516648126407489</v>
      </c>
      <c r="E31" s="2">
        <v>14.060170187173844</v>
      </c>
      <c r="F31" s="2">
        <v>19.689645998551697</v>
      </c>
      <c r="G31" s="2">
        <v>4.7948211972539454</v>
      </c>
      <c r="H31" s="2">
        <v>1.6950706552115653</v>
      </c>
      <c r="I31" s="2">
        <v>3.0778224041055982</v>
      </c>
      <c r="J31" s="2">
        <v>184.70726764952997</v>
      </c>
      <c r="K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2">
      <c r="A32" s="26" t="s">
        <v>72</v>
      </c>
      <c r="B32" s="2">
        <v>57.760621227993013</v>
      </c>
      <c r="C32" s="2">
        <v>49.383057582712205</v>
      </c>
      <c r="D32" s="2">
        <v>36.099283527960843</v>
      </c>
      <c r="E32" s="2">
        <v>14.186267909076207</v>
      </c>
      <c r="F32" s="2">
        <v>19.998106846108534</v>
      </c>
      <c r="G32" s="2">
        <v>4.8099677521174149</v>
      </c>
      <c r="H32" s="2">
        <v>1.7292610407328213</v>
      </c>
      <c r="I32" s="2">
        <v>3.08813559976501</v>
      </c>
      <c r="J32" s="2">
        <v>187.054701486466</v>
      </c>
      <c r="K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2">
      <c r="A33" s="26" t="s">
        <v>73</v>
      </c>
      <c r="B33" s="2">
        <v>58.851872490272335</v>
      </c>
      <c r="C33" s="2">
        <v>49.879506823148915</v>
      </c>
      <c r="D33" s="2">
        <v>37.025053443800871</v>
      </c>
      <c r="E33" s="2">
        <v>14.425888474755563</v>
      </c>
      <c r="F33" s="2">
        <v>20.412950619713754</v>
      </c>
      <c r="G33" s="2">
        <v>4.7745972654008657</v>
      </c>
      <c r="H33" s="2">
        <v>1.7616859894816397</v>
      </c>
      <c r="I33" s="2">
        <v>3.1073530029863443</v>
      </c>
      <c r="J33" s="2">
        <v>190.2389081095603</v>
      </c>
      <c r="K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2">
      <c r="A34" s="26" t="s">
        <v>74</v>
      </c>
      <c r="B34" s="2">
        <v>60.243804016354524</v>
      </c>
      <c r="C34" s="2">
        <v>51.06026685936358</v>
      </c>
      <c r="D34" s="2">
        <v>37.86123394140121</v>
      </c>
      <c r="E34" s="2">
        <v>14.842454494607452</v>
      </c>
      <c r="F34" s="2">
        <v>20.889833001122394</v>
      </c>
      <c r="G34" s="2">
        <v>4.7601543667762432</v>
      </c>
      <c r="H34" s="2">
        <v>1.7814003134386445</v>
      </c>
      <c r="I34" s="2">
        <v>3.1688077131222783</v>
      </c>
      <c r="J34" s="2">
        <v>194.60795470618632</v>
      </c>
      <c r="K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x14ac:dyDescent="0.2">
      <c r="A35" s="26" t="s">
        <v>75</v>
      </c>
      <c r="B35" s="2">
        <v>61.715898735705288</v>
      </c>
      <c r="C35" s="2">
        <v>51.700801124995905</v>
      </c>
      <c r="D35" s="2">
        <v>38.99236676942116</v>
      </c>
      <c r="E35" s="2">
        <v>15.261680153622727</v>
      </c>
      <c r="F35" s="2">
        <v>21.193358001699789</v>
      </c>
      <c r="G35" s="2">
        <v>4.7746167901715468</v>
      </c>
      <c r="H35" s="2">
        <v>1.7980653750068403</v>
      </c>
      <c r="I35" s="2">
        <v>3.2313392566901475</v>
      </c>
      <c r="J35" s="2">
        <v>198.66812620731338</v>
      </c>
      <c r="K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x14ac:dyDescent="0.2">
      <c r="A36" s="26" t="s">
        <v>76</v>
      </c>
      <c r="B36" s="2">
        <v>61.500651611982818</v>
      </c>
      <c r="C36" s="2">
        <v>51.057079013498743</v>
      </c>
      <c r="D36" s="2">
        <v>39.149192074319657</v>
      </c>
      <c r="E36" s="2">
        <v>15.201887742198014</v>
      </c>
      <c r="F36" s="2">
        <v>20.999034988440698</v>
      </c>
      <c r="G36" s="2">
        <v>4.6698029508572754</v>
      </c>
      <c r="H36" s="2">
        <v>1.7543649083035466</v>
      </c>
      <c r="I36" s="2">
        <v>3.1813544023905513</v>
      </c>
      <c r="J36" s="2">
        <v>197.51336769199131</v>
      </c>
      <c r="K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2">
      <c r="A37" s="26" t="s">
        <v>77</v>
      </c>
      <c r="B37" s="2">
        <v>62.846277961110246</v>
      </c>
      <c r="C37" s="2">
        <v>52.859068866872079</v>
      </c>
      <c r="D37" s="2">
        <v>40.641468234838385</v>
      </c>
      <c r="E37" s="2">
        <v>15.498542190068747</v>
      </c>
      <c r="F37" s="2">
        <v>21.516504116634117</v>
      </c>
      <c r="G37" s="2">
        <v>4.7867822812047329</v>
      </c>
      <c r="H37" s="2">
        <v>1.7844830348998253</v>
      </c>
      <c r="I37" s="2">
        <v>3.2549270034208018</v>
      </c>
      <c r="J37" s="2">
        <v>203.18805368904893</v>
      </c>
      <c r="K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">
      <c r="A38" s="26" t="s">
        <v>78</v>
      </c>
      <c r="B38" s="2">
        <v>64.008066798064149</v>
      </c>
      <c r="C38" s="2">
        <v>54.534983151515831</v>
      </c>
      <c r="D38" s="2">
        <v>41.980318549117968</v>
      </c>
      <c r="E38" s="2">
        <v>16.008852203977042</v>
      </c>
      <c r="F38" s="2">
        <v>22.103710294878407</v>
      </c>
      <c r="G38" s="2">
        <v>4.9664980981182776</v>
      </c>
      <c r="H38" s="2">
        <v>1.8160562830276725</v>
      </c>
      <c r="I38" s="2">
        <v>3.3632825002114761</v>
      </c>
      <c r="J38" s="2">
        <v>208.78176787891081</v>
      </c>
      <c r="K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">
      <c r="A39" s="26" t="s">
        <v>79</v>
      </c>
      <c r="B39" s="2">
        <v>66.722127834817286</v>
      </c>
      <c r="C39" s="2">
        <v>56.673796442056286</v>
      </c>
      <c r="D39" s="2">
        <v>44.622736716528138</v>
      </c>
      <c r="E39" s="2">
        <v>16.264220333887788</v>
      </c>
      <c r="F39" s="2">
        <v>23.139542812214067</v>
      </c>
      <c r="G39" s="2">
        <v>5.1953211692871655</v>
      </c>
      <c r="H39" s="2">
        <v>1.8713934306445985</v>
      </c>
      <c r="I39" s="2">
        <v>3.5065602705520553</v>
      </c>
      <c r="J39" s="2">
        <v>217.99569900998736</v>
      </c>
      <c r="K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">
      <c r="A40" s="26" t="s">
        <v>80</v>
      </c>
      <c r="B40" s="2">
        <v>67.15148697192862</v>
      </c>
      <c r="C40" s="2">
        <v>56.824205918264624</v>
      </c>
      <c r="D40" s="2">
        <v>45.321459527761498</v>
      </c>
      <c r="E40" s="2">
        <v>16.074458301061664</v>
      </c>
      <c r="F40" s="2">
        <v>23.542476011202815</v>
      </c>
      <c r="G40" s="2">
        <v>5.1565588352372274</v>
      </c>
      <c r="H40" s="2">
        <v>1.8635808856110869</v>
      </c>
      <c r="I40" s="2">
        <v>3.5163460163702154</v>
      </c>
      <c r="J40" s="2">
        <v>219.45057246743778</v>
      </c>
      <c r="K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">
      <c r="A41" s="26" t="s">
        <v>81</v>
      </c>
      <c r="B41" s="2">
        <v>66.451085208892053</v>
      </c>
      <c r="C41" s="2">
        <v>56.095341232908297</v>
      </c>
      <c r="D41" s="2">
        <v>45.586315285035134</v>
      </c>
      <c r="E41" s="2">
        <v>15.862023897822962</v>
      </c>
      <c r="F41" s="2">
        <v>23.422786065830451</v>
      </c>
      <c r="G41" s="2">
        <v>5.1185000862266836</v>
      </c>
      <c r="H41" s="2">
        <v>1.859482159781513</v>
      </c>
      <c r="I41" s="2">
        <v>3.4926066167834731</v>
      </c>
      <c r="J41" s="2">
        <v>217.88814055328055</v>
      </c>
      <c r="K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x14ac:dyDescent="0.2">
      <c r="A42" s="26" t="s">
        <v>82</v>
      </c>
      <c r="B42" s="2">
        <v>67.321414718778612</v>
      </c>
      <c r="C42" s="2">
        <v>56.717278995494496</v>
      </c>
      <c r="D42" s="2">
        <v>47.030613740212651</v>
      </c>
      <c r="E42" s="2">
        <v>16.106947793428411</v>
      </c>
      <c r="F42" s="2">
        <v>24.05648372508476</v>
      </c>
      <c r="G42" s="2">
        <v>5.2504624223192007</v>
      </c>
      <c r="H42" s="2">
        <v>1.924668111372466</v>
      </c>
      <c r="I42" s="2">
        <v>3.5476158851593054</v>
      </c>
      <c r="J42" s="2">
        <v>221.95548539184992</v>
      </c>
      <c r="K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x14ac:dyDescent="0.2">
      <c r="A43" s="26" t="s">
        <v>83</v>
      </c>
      <c r="B43" s="2">
        <v>67.932057882925889</v>
      </c>
      <c r="C43" s="2">
        <v>57.636197621709876</v>
      </c>
      <c r="D43" s="2">
        <v>48.229896061314555</v>
      </c>
      <c r="E43" s="2">
        <v>15.916990958545913</v>
      </c>
      <c r="F43" s="2">
        <v>24.456677334540394</v>
      </c>
      <c r="G43" s="2">
        <v>5.2815865569891978</v>
      </c>
      <c r="H43" s="2">
        <v>1.9883510904420028</v>
      </c>
      <c r="I43" s="2">
        <v>3.5789268280817836</v>
      </c>
      <c r="J43" s="2">
        <v>225.0206843345496</v>
      </c>
      <c r="K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x14ac:dyDescent="0.2">
      <c r="A44" s="26" t="s">
        <v>84</v>
      </c>
      <c r="B44" s="2">
        <v>68.021060216581716</v>
      </c>
      <c r="C44" s="2">
        <v>57.315152236585767</v>
      </c>
      <c r="D44" s="2">
        <v>48.087969415272745</v>
      </c>
      <c r="E44" s="2">
        <v>15.889803183147903</v>
      </c>
      <c r="F44" s="2">
        <v>25.118640569444153</v>
      </c>
      <c r="G44" s="2">
        <v>5.25454628203775</v>
      </c>
      <c r="H44" s="2">
        <v>2.0354076303219579</v>
      </c>
      <c r="I44" s="2">
        <v>3.5904799736241197</v>
      </c>
      <c r="J44" s="2">
        <v>225.31305950701613</v>
      </c>
      <c r="K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x14ac:dyDescent="0.2">
      <c r="A45" s="26" t="s">
        <v>85</v>
      </c>
      <c r="B45" s="2">
        <v>68.956667724768693</v>
      </c>
      <c r="C45" s="2">
        <v>58.518183567109347</v>
      </c>
      <c r="D45" s="2">
        <v>48.799670956125006</v>
      </c>
      <c r="E45" s="2">
        <v>16.110742413876888</v>
      </c>
      <c r="F45" s="2">
        <v>25.22442228947294</v>
      </c>
      <c r="G45" s="2">
        <v>5.2372645994561946</v>
      </c>
      <c r="H45" s="2">
        <v>2.0438669744828393</v>
      </c>
      <c r="I45" s="2">
        <v>3.6232924417569561</v>
      </c>
      <c r="J45" s="2">
        <v>228.51411096704888</v>
      </c>
      <c r="K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x14ac:dyDescent="0.2">
      <c r="A46" s="26" t="s">
        <v>86</v>
      </c>
      <c r="B46" s="2">
        <v>70.335567059284074</v>
      </c>
      <c r="C46" s="2">
        <v>59.748978592800825</v>
      </c>
      <c r="D46" s="2">
        <v>49.169552853562891</v>
      </c>
      <c r="E46" s="2">
        <v>16.136073026721785</v>
      </c>
      <c r="F46" s="2">
        <v>25.696688120433482</v>
      </c>
      <c r="G46" s="2">
        <v>5.2619019702144625</v>
      </c>
      <c r="H46" s="2">
        <v>2.0570242454046941</v>
      </c>
      <c r="I46" s="2">
        <v>3.6765804905290946</v>
      </c>
      <c r="J46" s="2">
        <v>232.08236635895133</v>
      </c>
      <c r="K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2.6" customHeight="1" x14ac:dyDescent="0.2">
      <c r="A47" s="26" t="s">
        <v>87</v>
      </c>
      <c r="B47" s="2">
        <v>71.054120965140442</v>
      </c>
      <c r="C47" s="2">
        <v>60.812675432360848</v>
      </c>
      <c r="D47" s="2">
        <v>49.988056405471426</v>
      </c>
      <c r="E47" s="2">
        <v>16.139985464637874</v>
      </c>
      <c r="F47" s="2">
        <v>26.328925722671151</v>
      </c>
      <c r="G47" s="2">
        <v>5.2872831859162535</v>
      </c>
      <c r="H47" s="2">
        <v>2.0668526200655171</v>
      </c>
      <c r="I47" s="2">
        <v>3.7487974580702614</v>
      </c>
      <c r="J47" s="2">
        <v>235.42669725433376</v>
      </c>
      <c r="K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2.6" customHeight="1" x14ac:dyDescent="0.2">
      <c r="A48" s="26" t="s">
        <v>27</v>
      </c>
      <c r="B48" s="2">
        <v>72.635877810199133</v>
      </c>
      <c r="C48" s="2">
        <v>62.148641799409504</v>
      </c>
      <c r="D48" s="2">
        <v>51.279547762800924</v>
      </c>
      <c r="E48" s="2">
        <v>16.462760149671826</v>
      </c>
      <c r="F48" s="2">
        <v>26.958279569099336</v>
      </c>
      <c r="G48" s="2">
        <v>5.3258416977900822</v>
      </c>
      <c r="H48" s="2">
        <v>2.1139996333305748</v>
      </c>
      <c r="I48" s="2">
        <v>3.8483976622836988</v>
      </c>
      <c r="J48" s="2">
        <v>240.77334608458509</v>
      </c>
      <c r="K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2.6" customHeight="1" x14ac:dyDescent="0.2">
      <c r="A49" s="26" t="s">
        <v>28</v>
      </c>
      <c r="B49" s="2">
        <v>73.821042206756402</v>
      </c>
      <c r="C49" s="2">
        <v>63.46702145683102</v>
      </c>
      <c r="D49" s="2">
        <v>52.076143230061362</v>
      </c>
      <c r="E49" s="2">
        <v>16.83983315694881</v>
      </c>
      <c r="F49" s="2">
        <v>27.578378822012738</v>
      </c>
      <c r="G49" s="2">
        <v>5.3669751392513874</v>
      </c>
      <c r="H49" s="2">
        <v>2.1408220861819083</v>
      </c>
      <c r="I49" s="2">
        <v>3.9060023975232263</v>
      </c>
      <c r="J49" s="2">
        <v>245.19621849556685</v>
      </c>
      <c r="K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2.6" customHeight="1" x14ac:dyDescent="0.2">
      <c r="A50" s="26" t="s">
        <v>29</v>
      </c>
      <c r="B50" s="2">
        <v>75.00592396543982</v>
      </c>
      <c r="C50" s="2">
        <v>64.476025264059004</v>
      </c>
      <c r="D50" s="2">
        <v>52.910374263186299</v>
      </c>
      <c r="E50" s="2">
        <v>17.027465902828709</v>
      </c>
      <c r="F50" s="2">
        <v>28.000967754639177</v>
      </c>
      <c r="G50" s="2">
        <v>5.4003359498580856</v>
      </c>
      <c r="H50" s="2">
        <v>2.1573320880745976</v>
      </c>
      <c r="I50" s="2">
        <v>3.9496281520207486</v>
      </c>
      <c r="J50" s="2">
        <v>248.92805334010646</v>
      </c>
      <c r="K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2.6" customHeight="1" x14ac:dyDescent="0.2">
      <c r="A51" s="26" t="s">
        <v>30</v>
      </c>
      <c r="B51" s="2">
        <v>75.977490889927907</v>
      </c>
      <c r="C51" s="2">
        <v>65.235957173713032</v>
      </c>
      <c r="D51" s="2">
        <v>53.699261054737121</v>
      </c>
      <c r="E51" s="2">
        <v>17.148702248242916</v>
      </c>
      <c r="F51" s="2">
        <v>28.362628758025267</v>
      </c>
      <c r="G51" s="2">
        <v>5.403567361925468</v>
      </c>
      <c r="H51" s="2">
        <v>2.1574652962762109</v>
      </c>
      <c r="I51" s="2">
        <v>3.9801505083315245</v>
      </c>
      <c r="J51" s="2">
        <v>251.96522329117946</v>
      </c>
      <c r="K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2.6" customHeight="1" x14ac:dyDescent="0.2">
      <c r="A52" s="26" t="s">
        <v>31</v>
      </c>
      <c r="B52" s="2">
        <v>77.070460925980626</v>
      </c>
      <c r="C52" s="2">
        <v>66.328338892314548</v>
      </c>
      <c r="D52" s="2">
        <v>54.263515717756974</v>
      </c>
      <c r="E52" s="2">
        <v>17.251145109268759</v>
      </c>
      <c r="F52" s="2">
        <v>28.405714790700529</v>
      </c>
      <c r="G52" s="2">
        <v>5.4122603532371318</v>
      </c>
      <c r="H52" s="2">
        <v>2.1815706223686093</v>
      </c>
      <c r="I52" s="2">
        <v>4.0273397019909662</v>
      </c>
      <c r="J52" s="2">
        <v>254.94034611361815</v>
      </c>
      <c r="K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2.6" customHeight="1" x14ac:dyDescent="0.2">
      <c r="A53" s="26" t="s">
        <v>32</v>
      </c>
      <c r="B53" s="2">
        <v>77.913895497294007</v>
      </c>
      <c r="C53" s="2">
        <v>67.356275541852284</v>
      </c>
      <c r="D53" s="2">
        <v>54.844240042822634</v>
      </c>
      <c r="E53" s="2">
        <v>17.384122737445274</v>
      </c>
      <c r="F53" s="2">
        <v>28.469840641313944</v>
      </c>
      <c r="G53" s="2">
        <v>5.5167639809571902</v>
      </c>
      <c r="H53" s="2">
        <v>2.2208646126005016</v>
      </c>
      <c r="I53" s="2">
        <v>4.0754685157906767</v>
      </c>
      <c r="J53" s="2">
        <v>257.78147157007652</v>
      </c>
      <c r="K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2.6" customHeight="1" x14ac:dyDescent="0.2">
      <c r="A54" s="26" t="s">
        <v>88</v>
      </c>
      <c r="B54" s="2">
        <v>77.51043551467518</v>
      </c>
      <c r="C54" s="2">
        <v>67.709737003374897</v>
      </c>
      <c r="D54" s="2">
        <v>54.665087023179524</v>
      </c>
      <c r="E54" s="2">
        <v>17.113181444920556</v>
      </c>
      <c r="F54" s="2">
        <v>28.367820417687764</v>
      </c>
      <c r="G54" s="2">
        <v>5.5209844955827254</v>
      </c>
      <c r="H54" s="2">
        <v>2.2100248904004203</v>
      </c>
      <c r="I54" s="2">
        <v>4.0576325094938053</v>
      </c>
      <c r="J54" s="2">
        <v>257.15490329931492</v>
      </c>
      <c r="K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4" ht="12.6" customHeight="1" x14ac:dyDescent="0.2">
      <c r="A55" s="26" t="s">
        <v>89</v>
      </c>
      <c r="B55" s="2">
        <v>71.791348840378362</v>
      </c>
      <c r="C55" s="2">
        <v>63.811636771035047</v>
      </c>
      <c r="D55" s="2">
        <v>52.448586643745784</v>
      </c>
      <c r="E55" s="2">
        <v>16.296158301472616</v>
      </c>
      <c r="F55" s="2">
        <v>27.384092878163916</v>
      </c>
      <c r="G55" s="2">
        <v>5.1827905366551796</v>
      </c>
      <c r="H55" s="2">
        <v>2.1220308770507059</v>
      </c>
      <c r="I55" s="2">
        <v>3.8438343583368448</v>
      </c>
      <c r="J55" s="2">
        <v>242.88047920683846</v>
      </c>
      <c r="K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4" ht="12.6" customHeight="1" x14ac:dyDescent="0.2">
      <c r="A56" s="26" t="s">
        <v>90</v>
      </c>
      <c r="B56" s="2">
        <v>74.073857598308564</v>
      </c>
      <c r="C56" s="2">
        <v>58.721731368755783</v>
      </c>
      <c r="D56" s="2">
        <v>55.329460854947143</v>
      </c>
      <c r="E56" s="2">
        <v>16.738113193618119</v>
      </c>
      <c r="F56" s="2">
        <v>28.394077021124609</v>
      </c>
      <c r="G56" s="2">
        <v>5.3101998879647212</v>
      </c>
      <c r="H56" s="2">
        <v>2.2005385361356717</v>
      </c>
      <c r="I56" s="2">
        <v>4.0193731952747616</v>
      </c>
      <c r="J56" s="2">
        <v>244.7873516561294</v>
      </c>
      <c r="K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4" ht="12.6" customHeight="1" x14ac:dyDescent="0.2">
      <c r="A57" s="26" t="s">
        <v>183</v>
      </c>
      <c r="B57" s="2">
        <v>68.467899420259158</v>
      </c>
      <c r="C57" s="2">
        <v>61.175521077904634</v>
      </c>
      <c r="D57" s="2">
        <v>54.5042153075388</v>
      </c>
      <c r="E57" s="2">
        <v>16.164232207865137</v>
      </c>
      <c r="F57" s="2">
        <v>28.483858952268456</v>
      </c>
      <c r="G57" s="2">
        <v>5.2254275367921394</v>
      </c>
      <c r="H57" s="2">
        <v>2.1641898315148387</v>
      </c>
      <c r="I57" s="2">
        <v>3.8258597965649019</v>
      </c>
      <c r="J57" s="2">
        <v>240.01120413070805</v>
      </c>
      <c r="K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4" ht="12.6" customHeight="1" x14ac:dyDescent="0.2">
      <c r="A58" s="26" t="s">
        <v>184</v>
      </c>
      <c r="B58" s="2">
        <v>74.825285271126631</v>
      </c>
      <c r="C58" s="2">
        <v>65.490369763576751</v>
      </c>
      <c r="D58" s="2">
        <v>55.996781259098107</v>
      </c>
      <c r="E58" s="2">
        <v>16.661775061837435</v>
      </c>
      <c r="F58" s="2">
        <v>29.617271007725343</v>
      </c>
      <c r="G58" s="2">
        <v>5.1599914895947236</v>
      </c>
      <c r="H58" s="2">
        <v>2.1573991177084517</v>
      </c>
      <c r="I58" s="2">
        <v>4.0538338386056134</v>
      </c>
      <c r="J58" s="2">
        <v>253.96270680927304</v>
      </c>
      <c r="K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4" ht="12.6" customHeight="1" x14ac:dyDescent="0.2">
      <c r="A59" s="26" t="s">
        <v>209</v>
      </c>
      <c r="B59" s="2">
        <v>76.515924283477304</v>
      </c>
      <c r="C59" s="2">
        <v>66.994681644527844</v>
      </c>
      <c r="D59" s="2">
        <v>57.402888963203878</v>
      </c>
      <c r="E59" s="2">
        <v>16.962881001203346</v>
      </c>
      <c r="F59" s="2">
        <v>30.497259557067569</v>
      </c>
      <c r="G59" s="2">
        <v>5.2034850195484719</v>
      </c>
      <c r="H59" s="2">
        <v>2.1788595255625558</v>
      </c>
      <c r="I59" s="2">
        <v>4.156524203073376</v>
      </c>
      <c r="J59" s="2">
        <v>259.91250419766436</v>
      </c>
      <c r="K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4" ht="12.6" customHeight="1" x14ac:dyDescent="0.2">
      <c r="A60" s="30" t="s">
        <v>223</v>
      </c>
      <c r="B60" s="3">
        <v>77.535458880592586</v>
      </c>
      <c r="C60" s="3">
        <v>68.22322269378121</v>
      </c>
      <c r="D60" s="3">
        <v>58.439006139621895</v>
      </c>
      <c r="E60" s="3">
        <v>17.150524995580554</v>
      </c>
      <c r="F60" s="3">
        <v>31.175607910182091</v>
      </c>
      <c r="G60" s="3">
        <v>5.230552731649003</v>
      </c>
      <c r="H60" s="3">
        <v>2.2127236452552563</v>
      </c>
      <c r="I60" s="3">
        <v>4.2170735133115222</v>
      </c>
      <c r="J60" s="3">
        <v>264.18417050997408</v>
      </c>
      <c r="K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4" ht="12.6" customHeight="1" x14ac:dyDescent="0.2">
      <c r="A61" s="19" t="s">
        <v>307</v>
      </c>
      <c r="B61" s="2"/>
      <c r="C61" s="2"/>
      <c r="D61" s="2"/>
      <c r="E61" s="2"/>
      <c r="F61" s="2"/>
      <c r="G61" s="2"/>
      <c r="H61" s="2"/>
      <c r="I61" s="2"/>
      <c r="J61" s="2"/>
      <c r="O61" s="2"/>
      <c r="P61" s="2"/>
      <c r="Q61" s="2"/>
      <c r="R61" s="2"/>
      <c r="S61" s="2"/>
      <c r="T61" s="2"/>
      <c r="U61" s="2"/>
      <c r="V61" s="2"/>
      <c r="W61" s="2"/>
    </row>
    <row r="62" spans="1:34" ht="12.6" customHeight="1" x14ac:dyDescent="0.2">
      <c r="A62" s="26" t="s">
        <v>311</v>
      </c>
      <c r="B62" s="111"/>
      <c r="C62" s="111"/>
      <c r="D62" s="111"/>
      <c r="E62" s="111"/>
      <c r="F62" s="111"/>
      <c r="G62" s="111"/>
      <c r="H62" s="111"/>
      <c r="I62" s="111"/>
      <c r="J62" s="111"/>
      <c r="O62" s="2"/>
      <c r="P62" s="2"/>
      <c r="Q62" s="2"/>
      <c r="R62" s="2"/>
      <c r="S62" s="2"/>
      <c r="T62" s="2"/>
      <c r="U62" s="2"/>
      <c r="V62" s="2"/>
      <c r="W62" s="2"/>
    </row>
    <row r="63" spans="1:34" ht="12.6" customHeight="1" x14ac:dyDescent="0.2">
      <c r="A63" s="26" t="s">
        <v>313</v>
      </c>
      <c r="B63" s="111"/>
      <c r="C63" s="111"/>
      <c r="D63" s="111"/>
      <c r="E63" s="111"/>
      <c r="F63" s="111"/>
      <c r="G63" s="111"/>
      <c r="H63" s="111"/>
      <c r="I63" s="111"/>
      <c r="J63" s="111"/>
    </row>
    <row r="64" spans="1:34" ht="12.6" customHeight="1" x14ac:dyDescent="0.2">
      <c r="A64" s="196" t="s">
        <v>91</v>
      </c>
      <c r="B64" s="201"/>
      <c r="C64" s="201"/>
      <c r="D64" s="201"/>
      <c r="E64" s="201"/>
      <c r="F64" s="201"/>
      <c r="G64" s="201"/>
      <c r="H64" s="201"/>
      <c r="I64" s="201"/>
      <c r="J64" s="201"/>
    </row>
  </sheetData>
  <mergeCells count="4">
    <mergeCell ref="H2:I2"/>
    <mergeCell ref="A3:A4"/>
    <mergeCell ref="B5:J5"/>
    <mergeCell ref="A64:J64"/>
  </mergeCells>
  <pageMargins left="0.74803149606299213" right="0.74803149606299213" top="0.98425196850393704" bottom="0.98425196850393704" header="0.51181102362204722" footer="0.51181102362204722"/>
  <pageSetup paperSize="9" scale="89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64"/>
  <sheetViews>
    <sheetView zoomScaleNormal="100" workbookViewId="0">
      <selection activeCell="D12" sqref="D12:E12"/>
    </sheetView>
  </sheetViews>
  <sheetFormatPr defaultColWidth="9.140625" defaultRowHeight="12.75" x14ac:dyDescent="0.2"/>
  <cols>
    <col min="1" max="1" width="8.7109375" style="8" customWidth="1"/>
    <col min="2" max="2" width="8.7109375" style="5" customWidth="1"/>
    <col min="3" max="3" width="9.42578125" style="5" customWidth="1"/>
    <col min="4" max="10" width="8.7109375" style="5" customWidth="1"/>
    <col min="11" max="16384" width="9.140625" style="5"/>
  </cols>
  <sheetData>
    <row r="1" spans="1:21" x14ac:dyDescent="0.2">
      <c r="A1" s="4"/>
    </row>
    <row r="2" spans="1:21" x14ac:dyDescent="0.2">
      <c r="A2" s="6" t="s">
        <v>264</v>
      </c>
      <c r="B2" s="7"/>
      <c r="C2" s="7"/>
      <c r="D2" s="7"/>
      <c r="E2" s="7"/>
      <c r="F2" s="7"/>
      <c r="G2" s="7"/>
      <c r="H2" s="197"/>
      <c r="I2" s="197"/>
      <c r="J2" s="7"/>
    </row>
    <row r="3" spans="1:21" x14ac:dyDescent="0.2">
      <c r="A3" s="198" t="s">
        <v>38</v>
      </c>
    </row>
    <row r="4" spans="1:21" x14ac:dyDescent="0.2">
      <c r="A4" s="199"/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94</v>
      </c>
      <c r="H4" s="4" t="s">
        <v>5</v>
      </c>
      <c r="I4" s="4" t="s">
        <v>6</v>
      </c>
      <c r="J4" s="4" t="s">
        <v>7</v>
      </c>
    </row>
    <row r="5" spans="1:21" x14ac:dyDescent="0.2">
      <c r="A5" s="6"/>
      <c r="B5" s="200" t="s">
        <v>45</v>
      </c>
      <c r="C5" s="200"/>
      <c r="D5" s="200"/>
      <c r="E5" s="200"/>
      <c r="F5" s="200"/>
      <c r="G5" s="200"/>
      <c r="H5" s="200"/>
      <c r="I5" s="200"/>
      <c r="J5" s="200"/>
    </row>
    <row r="6" spans="1:21" x14ac:dyDescent="0.2">
      <c r="A6" s="110" t="s">
        <v>46</v>
      </c>
      <c r="B6" s="2">
        <v>14.790079251471051</v>
      </c>
      <c r="C6" s="2">
        <v>12.30804860494672</v>
      </c>
      <c r="D6" s="2">
        <v>4.3385516190897038</v>
      </c>
      <c r="E6" s="2">
        <v>4.5717952129138926</v>
      </c>
      <c r="F6" s="2">
        <v>4.5171747645531992</v>
      </c>
      <c r="G6" s="2">
        <v>0.72001019069434036</v>
      </c>
      <c r="H6" s="2">
        <v>0.20806916229927189</v>
      </c>
      <c r="I6" s="2">
        <v>0.9149793354740261</v>
      </c>
      <c r="J6" s="2">
        <v>42.368708141442198</v>
      </c>
      <c r="K6" s="2"/>
    </row>
    <row r="7" spans="1:21" x14ac:dyDescent="0.2">
      <c r="A7" s="26" t="s">
        <v>47</v>
      </c>
      <c r="B7" s="2">
        <v>15.637720833655242</v>
      </c>
      <c r="C7" s="2">
        <v>13.081104876256104</v>
      </c>
      <c r="D7" s="2">
        <v>4.6824861712901011</v>
      </c>
      <c r="E7" s="2">
        <v>4.8134638753737589</v>
      </c>
      <c r="F7" s="2">
        <v>4.8745382243144322</v>
      </c>
      <c r="G7" s="2">
        <v>0.75769372929336765</v>
      </c>
      <c r="H7" s="2">
        <v>0.23436262423845161</v>
      </c>
      <c r="I7" s="2">
        <v>1.023206817743731</v>
      </c>
      <c r="J7" s="2">
        <v>45.104577152165191</v>
      </c>
      <c r="K7" s="2"/>
    </row>
    <row r="8" spans="1:21" x14ac:dyDescent="0.2">
      <c r="A8" s="26" t="s">
        <v>48</v>
      </c>
      <c r="B8" s="2">
        <v>16.149447409635886</v>
      </c>
      <c r="C8" s="2">
        <v>13.604431274037292</v>
      </c>
      <c r="D8" s="2">
        <v>4.9773784256621321</v>
      </c>
      <c r="E8" s="2">
        <v>4.9999735890939814</v>
      </c>
      <c r="F8" s="2">
        <v>5.1341514641169006</v>
      </c>
      <c r="G8" s="2">
        <v>0.78434432402133947</v>
      </c>
      <c r="H8" s="2">
        <v>0.25741897624666271</v>
      </c>
      <c r="I8" s="2">
        <v>1.1236340967053697</v>
      </c>
      <c r="J8" s="2">
        <v>47.030779559519566</v>
      </c>
      <c r="K8" s="2"/>
      <c r="O8" s="2"/>
      <c r="P8" s="2"/>
      <c r="Q8" s="2"/>
      <c r="R8" s="2"/>
      <c r="S8" s="2"/>
      <c r="T8" s="2"/>
      <c r="U8" s="2"/>
    </row>
    <row r="9" spans="1:21" x14ac:dyDescent="0.2">
      <c r="A9" s="26" t="s">
        <v>49</v>
      </c>
      <c r="B9" s="2">
        <v>17.096032209673698</v>
      </c>
      <c r="C9" s="2">
        <v>14.514298646788074</v>
      </c>
      <c r="D9" s="2">
        <v>5.4295963351174406</v>
      </c>
      <c r="E9" s="2">
        <v>5.4309766251104676</v>
      </c>
      <c r="F9" s="2">
        <v>5.5797103921802274</v>
      </c>
      <c r="G9" s="2">
        <v>0.84404574500729701</v>
      </c>
      <c r="H9" s="2">
        <v>0.29135519080929417</v>
      </c>
      <c r="I9" s="2">
        <v>1.2586394231877802</v>
      </c>
      <c r="J9" s="2">
        <v>50.444654567874274</v>
      </c>
      <c r="K9" s="2"/>
      <c r="O9" s="2"/>
      <c r="P9" s="2"/>
      <c r="Q9" s="2"/>
      <c r="R9" s="2"/>
      <c r="S9" s="2"/>
      <c r="T9" s="2"/>
      <c r="U9" s="2"/>
    </row>
    <row r="10" spans="1:21" x14ac:dyDescent="0.2">
      <c r="A10" s="26" t="s">
        <v>50</v>
      </c>
      <c r="B10" s="2">
        <v>17.761510722204704</v>
      </c>
      <c r="C10" s="2">
        <v>15.361641461112995</v>
      </c>
      <c r="D10" s="2">
        <v>5.7572905530771221</v>
      </c>
      <c r="E10" s="2">
        <v>5.7642027730265353</v>
      </c>
      <c r="F10" s="2">
        <v>5.9516442187926808</v>
      </c>
      <c r="G10" s="2">
        <v>0.89139442197672591</v>
      </c>
      <c r="H10" s="2">
        <v>0.2522027215599173</v>
      </c>
      <c r="I10" s="2">
        <v>1.3716250928986544</v>
      </c>
      <c r="J10" s="2">
        <v>53.111511964649331</v>
      </c>
      <c r="K10" s="2"/>
      <c r="O10" s="2"/>
      <c r="P10" s="2"/>
      <c r="Q10" s="2"/>
      <c r="R10" s="2"/>
      <c r="S10" s="2"/>
      <c r="T10" s="2"/>
      <c r="U10" s="2"/>
    </row>
    <row r="11" spans="1:21" x14ac:dyDescent="0.2">
      <c r="A11" s="26" t="s">
        <v>51</v>
      </c>
      <c r="B11" s="2">
        <v>18.232827004573739</v>
      </c>
      <c r="C11" s="2">
        <v>16.206012694274317</v>
      </c>
      <c r="D11" s="2">
        <v>6.1397715510528306</v>
      </c>
      <c r="E11" s="2">
        <v>6.0427619465911917</v>
      </c>
      <c r="F11" s="2">
        <v>6.284165026734966</v>
      </c>
      <c r="G11" s="2">
        <v>0.93858401049542484</v>
      </c>
      <c r="H11" s="2">
        <v>0.30715660071331646</v>
      </c>
      <c r="I11" s="2">
        <v>1.4673861274348663</v>
      </c>
      <c r="J11" s="2">
        <v>55.618664961870657</v>
      </c>
      <c r="K11" s="2"/>
      <c r="O11" s="2"/>
      <c r="P11" s="2"/>
      <c r="Q11" s="2"/>
      <c r="R11" s="2"/>
      <c r="S11" s="2"/>
      <c r="T11" s="2"/>
      <c r="U11" s="2"/>
    </row>
    <row r="12" spans="1:21" x14ac:dyDescent="0.2">
      <c r="A12" s="26" t="s">
        <v>52</v>
      </c>
      <c r="B12" s="2">
        <v>19.070689885852289</v>
      </c>
      <c r="C12" s="2">
        <v>17.234697941833769</v>
      </c>
      <c r="D12" s="2">
        <v>6.5068234223744366</v>
      </c>
      <c r="E12" s="2">
        <v>6.347176936178001</v>
      </c>
      <c r="F12" s="2">
        <v>6.7175082639565167</v>
      </c>
      <c r="G12" s="2">
        <v>1.0046919783670261</v>
      </c>
      <c r="H12" s="2">
        <v>0.33848559715693555</v>
      </c>
      <c r="I12" s="2">
        <v>1.5663326410038561</v>
      </c>
      <c r="J12" s="2">
        <v>58.786406666722833</v>
      </c>
      <c r="K12" s="2"/>
      <c r="O12" s="2"/>
      <c r="P12" s="2"/>
      <c r="Q12" s="2"/>
      <c r="R12" s="2"/>
      <c r="S12" s="2"/>
      <c r="T12" s="2"/>
      <c r="U12" s="2"/>
    </row>
    <row r="13" spans="1:21" x14ac:dyDescent="0.2">
      <c r="A13" s="26" t="s">
        <v>53</v>
      </c>
      <c r="B13" s="2">
        <v>19.684633330596689</v>
      </c>
      <c r="C13" s="2">
        <v>18.064244767672047</v>
      </c>
      <c r="D13" s="2">
        <v>6.8759363595862739</v>
      </c>
      <c r="E13" s="2">
        <v>6.5348045557122871</v>
      </c>
      <c r="F13" s="2">
        <v>7.0698217327839394</v>
      </c>
      <c r="G13" s="2">
        <v>1.0754834876398245</v>
      </c>
      <c r="H13" s="2">
        <v>0.35446384120259705</v>
      </c>
      <c r="I13" s="2">
        <v>1.6386911411576275</v>
      </c>
      <c r="J13" s="2">
        <v>61.298079216351276</v>
      </c>
      <c r="K13" s="2"/>
      <c r="O13" s="2"/>
      <c r="P13" s="2"/>
      <c r="Q13" s="2"/>
      <c r="R13" s="2"/>
      <c r="S13" s="2"/>
      <c r="T13" s="2"/>
      <c r="U13" s="2"/>
    </row>
    <row r="14" spans="1:21" x14ac:dyDescent="0.2">
      <c r="A14" s="26" t="s">
        <v>54</v>
      </c>
      <c r="B14" s="2">
        <v>20.361637417657523</v>
      </c>
      <c r="C14" s="2">
        <v>18.625734009101343</v>
      </c>
      <c r="D14" s="2">
        <v>7.2277456139772944</v>
      </c>
      <c r="E14" s="2">
        <v>6.5650105829952636</v>
      </c>
      <c r="F14" s="2">
        <v>7.2823481144374522</v>
      </c>
      <c r="G14" s="2">
        <v>1.1187066333386944</v>
      </c>
      <c r="H14" s="2">
        <v>0.37630314827068073</v>
      </c>
      <c r="I14" s="2">
        <v>1.6975208871391521</v>
      </c>
      <c r="J14" s="2">
        <v>63.255006406917403</v>
      </c>
      <c r="K14" s="2"/>
      <c r="O14" s="2"/>
      <c r="P14" s="2"/>
      <c r="Q14" s="2"/>
      <c r="R14" s="2"/>
      <c r="S14" s="2"/>
      <c r="T14" s="2"/>
      <c r="U14" s="2"/>
    </row>
    <row r="15" spans="1:21" x14ac:dyDescent="0.2">
      <c r="A15" s="26" t="s">
        <v>55</v>
      </c>
      <c r="B15" s="2">
        <v>20.693073504584586</v>
      </c>
      <c r="C15" s="2">
        <v>18.784242185079005</v>
      </c>
      <c r="D15" s="2">
        <v>7.4119524074586547</v>
      </c>
      <c r="E15" s="2">
        <v>6.4442153463647731</v>
      </c>
      <c r="F15" s="2">
        <v>7.3654297213090096</v>
      </c>
      <c r="G15" s="2">
        <v>1.1389678378934187</v>
      </c>
      <c r="H15" s="2">
        <v>0.39690668003328605</v>
      </c>
      <c r="I15" s="2">
        <v>1.7213158243457845</v>
      </c>
      <c r="J15" s="2">
        <v>63.956103507068512</v>
      </c>
      <c r="K15" s="2"/>
      <c r="O15" s="2"/>
      <c r="P15" s="2"/>
      <c r="Q15" s="2"/>
      <c r="R15" s="2"/>
      <c r="S15" s="2"/>
      <c r="T15" s="2"/>
      <c r="U15" s="2"/>
    </row>
    <row r="16" spans="1:21" x14ac:dyDescent="0.2">
      <c r="A16" s="26" t="s">
        <v>56</v>
      </c>
      <c r="B16" s="2">
        <v>21.150040966599274</v>
      </c>
      <c r="C16" s="2">
        <v>19.177822402408299</v>
      </c>
      <c r="D16" s="2">
        <v>7.715315319539112</v>
      </c>
      <c r="E16" s="2">
        <v>6.3912540286253092</v>
      </c>
      <c r="F16" s="2">
        <v>7.4950925818394714</v>
      </c>
      <c r="G16" s="2">
        <v>1.1684282270541353</v>
      </c>
      <c r="H16" s="2">
        <v>0.42598147091611682</v>
      </c>
      <c r="I16" s="2">
        <v>1.7551316587734196</v>
      </c>
      <c r="J16" s="2">
        <v>65.279066655755145</v>
      </c>
      <c r="K16" s="2"/>
      <c r="O16" s="2"/>
      <c r="P16" s="2"/>
      <c r="Q16" s="2"/>
      <c r="R16" s="2"/>
      <c r="S16" s="2"/>
      <c r="T16" s="2"/>
      <c r="U16" s="2"/>
    </row>
    <row r="17" spans="1:21" x14ac:dyDescent="0.2">
      <c r="A17" s="26" t="s">
        <v>57</v>
      </c>
      <c r="B17" s="2">
        <v>22.135929445544161</v>
      </c>
      <c r="C17" s="2">
        <v>20.334265874765133</v>
      </c>
      <c r="D17" s="2">
        <v>8.2881013617354728</v>
      </c>
      <c r="E17" s="2">
        <v>6.6291148132659794</v>
      </c>
      <c r="F17" s="2">
        <v>7.9087396331552284</v>
      </c>
      <c r="G17" s="2">
        <v>1.2225566523382989</v>
      </c>
      <c r="H17" s="2">
        <v>0.46579967123223781</v>
      </c>
      <c r="I17" s="2">
        <v>1.8604535427467086</v>
      </c>
      <c r="J17" s="2">
        <v>68.844960994783207</v>
      </c>
      <c r="K17" s="2"/>
      <c r="O17" s="2"/>
      <c r="P17" s="2"/>
      <c r="Q17" s="2"/>
      <c r="R17" s="2"/>
      <c r="S17" s="2"/>
      <c r="T17" s="2"/>
      <c r="U17" s="2"/>
    </row>
    <row r="18" spans="1:21" x14ac:dyDescent="0.2">
      <c r="A18" s="26" t="s">
        <v>58</v>
      </c>
      <c r="B18" s="2">
        <v>21.94476618473594</v>
      </c>
      <c r="C18" s="2">
        <v>20.404804938394697</v>
      </c>
      <c r="D18" s="2">
        <v>8.4368807549037879</v>
      </c>
      <c r="E18" s="2">
        <v>6.6620111659309158</v>
      </c>
      <c r="F18" s="2">
        <v>7.9370895878882575</v>
      </c>
      <c r="G18" s="2">
        <v>1.2316008991980107</v>
      </c>
      <c r="H18" s="2">
        <v>0.47355106157955201</v>
      </c>
      <c r="I18" s="2">
        <v>1.8851794251898197</v>
      </c>
      <c r="J18" s="2">
        <v>68.975884017820988</v>
      </c>
      <c r="K18" s="2"/>
      <c r="O18" s="2"/>
      <c r="P18" s="2"/>
      <c r="Q18" s="2"/>
      <c r="R18" s="2"/>
      <c r="S18" s="2"/>
      <c r="T18" s="2"/>
      <c r="U18" s="2"/>
    </row>
    <row r="19" spans="1:21" x14ac:dyDescent="0.2">
      <c r="A19" s="26" t="s">
        <v>59</v>
      </c>
      <c r="B19" s="2">
        <v>23.088951019667974</v>
      </c>
      <c r="C19" s="2">
        <v>21.282699264557923</v>
      </c>
      <c r="D19" s="2">
        <v>8.912456600740331</v>
      </c>
      <c r="E19" s="2">
        <v>7.0324483251890584</v>
      </c>
      <c r="F19" s="2">
        <v>8.4229497979246428</v>
      </c>
      <c r="G19" s="2">
        <v>1.3033875287185805</v>
      </c>
      <c r="H19" s="2">
        <v>0.51292667285889249</v>
      </c>
      <c r="I19" s="2">
        <v>1.9920372202546865</v>
      </c>
      <c r="J19" s="2">
        <v>72.547856429912073</v>
      </c>
      <c r="K19" s="2"/>
      <c r="O19" s="2"/>
      <c r="P19" s="2"/>
      <c r="Q19" s="2"/>
      <c r="R19" s="2"/>
      <c r="S19" s="2"/>
      <c r="T19" s="2"/>
      <c r="U19" s="2"/>
    </row>
    <row r="20" spans="1:21" x14ac:dyDescent="0.2">
      <c r="A20" s="26" t="s">
        <v>60</v>
      </c>
      <c r="B20" s="2">
        <v>24.192790997680216</v>
      </c>
      <c r="C20" s="2">
        <v>22.117449348030263</v>
      </c>
      <c r="D20" s="2">
        <v>9.3118414172433681</v>
      </c>
      <c r="E20" s="2">
        <v>7.3683347257156813</v>
      </c>
      <c r="F20" s="2">
        <v>8.7431197358680794</v>
      </c>
      <c r="G20" s="2">
        <v>1.3695504273248886</v>
      </c>
      <c r="H20" s="2">
        <v>0.55108537416458658</v>
      </c>
      <c r="I20" s="2">
        <v>2.1028778925051705</v>
      </c>
      <c r="J20" s="2">
        <v>75.75704991853226</v>
      </c>
      <c r="K20" s="2"/>
      <c r="O20" s="2"/>
      <c r="P20" s="2"/>
      <c r="Q20" s="2"/>
      <c r="R20" s="2"/>
      <c r="S20" s="2"/>
      <c r="T20" s="2"/>
      <c r="U20" s="2"/>
    </row>
    <row r="21" spans="1:21" x14ac:dyDescent="0.2">
      <c r="A21" s="26" t="s">
        <v>61</v>
      </c>
      <c r="B21" s="2">
        <v>24.848313954940487</v>
      </c>
      <c r="C21" s="2">
        <v>23.097664826875157</v>
      </c>
      <c r="D21" s="2">
        <v>9.8208079181294092</v>
      </c>
      <c r="E21" s="2">
        <v>7.5946844004604142</v>
      </c>
      <c r="F21" s="2">
        <v>9.028650110319683</v>
      </c>
      <c r="G21" s="2">
        <v>1.42664759792911</v>
      </c>
      <c r="H21" s="2">
        <v>0.59231410886675684</v>
      </c>
      <c r="I21" s="2">
        <v>2.2010513674717451</v>
      </c>
      <c r="J21" s="2">
        <v>78.610134284992768</v>
      </c>
      <c r="K21" s="2"/>
      <c r="O21" s="2"/>
      <c r="P21" s="2"/>
      <c r="Q21" s="2"/>
      <c r="R21" s="2"/>
      <c r="S21" s="2"/>
      <c r="T21" s="2"/>
      <c r="U21" s="2"/>
    </row>
    <row r="22" spans="1:21" x14ac:dyDescent="0.2">
      <c r="A22" s="26" t="s">
        <v>62</v>
      </c>
      <c r="B22" s="2">
        <v>25.388681476652895</v>
      </c>
      <c r="C22" s="2">
        <v>23.941777784550613</v>
      </c>
      <c r="D22" s="2">
        <v>10.124468812972525</v>
      </c>
      <c r="E22" s="2">
        <v>7.7410140552096438</v>
      </c>
      <c r="F22" s="2">
        <v>9.2448760769229033</v>
      </c>
      <c r="G22" s="2">
        <v>1.436405599779558</v>
      </c>
      <c r="H22" s="2">
        <v>0.61261895626274931</v>
      </c>
      <c r="I22" s="2">
        <v>2.2710840013415372</v>
      </c>
      <c r="J22" s="2">
        <v>80.760926763692424</v>
      </c>
      <c r="K22" s="2"/>
      <c r="O22" s="2"/>
      <c r="P22" s="2"/>
      <c r="Q22" s="2"/>
      <c r="R22" s="2"/>
      <c r="S22" s="2"/>
      <c r="T22" s="2"/>
      <c r="U22" s="2"/>
    </row>
    <row r="23" spans="1:21" x14ac:dyDescent="0.2">
      <c r="A23" s="26" t="s">
        <v>63</v>
      </c>
      <c r="B23" s="2">
        <v>26.543700697886145</v>
      </c>
      <c r="C23" s="2">
        <v>25.405183768620915</v>
      </c>
      <c r="D23" s="2">
        <v>10.755957452574512</v>
      </c>
      <c r="E23" s="2">
        <v>8.0716680078961556</v>
      </c>
      <c r="F23" s="2">
        <v>9.7522698684093214</v>
      </c>
      <c r="G23" s="2">
        <v>1.4893435524739083</v>
      </c>
      <c r="H23" s="2">
        <v>0.63160637938832931</v>
      </c>
      <c r="I23" s="2">
        <v>2.4055326595467039</v>
      </c>
      <c r="J23" s="2">
        <v>85.055262386795988</v>
      </c>
      <c r="K23" s="2"/>
      <c r="O23" s="2"/>
      <c r="P23" s="2"/>
      <c r="Q23" s="2"/>
      <c r="R23" s="2"/>
      <c r="S23" s="2"/>
      <c r="T23" s="2"/>
      <c r="U23" s="2"/>
    </row>
    <row r="24" spans="1:21" x14ac:dyDescent="0.2">
      <c r="A24" s="26" t="s">
        <v>64</v>
      </c>
      <c r="B24" s="2">
        <v>27.499339582891878</v>
      </c>
      <c r="C24" s="2">
        <v>26.725284112701424</v>
      </c>
      <c r="D24" s="2">
        <v>11.433079623975679</v>
      </c>
      <c r="E24" s="2">
        <v>8.3797874385913076</v>
      </c>
      <c r="F24" s="2">
        <v>10.269447262129141</v>
      </c>
      <c r="G24" s="2">
        <v>1.5437669191612222</v>
      </c>
      <c r="H24" s="2">
        <v>0.64132062860321415</v>
      </c>
      <c r="I24" s="2">
        <v>2.5405915275419431</v>
      </c>
      <c r="J24" s="2">
        <v>89.032617095595825</v>
      </c>
      <c r="K24" s="2"/>
      <c r="O24" s="2"/>
      <c r="P24" s="2"/>
      <c r="Q24" s="2"/>
      <c r="R24" s="2"/>
      <c r="S24" s="2"/>
      <c r="T24" s="2"/>
      <c r="U24" s="2"/>
    </row>
    <row r="25" spans="1:21" x14ac:dyDescent="0.2">
      <c r="A25" s="26" t="s">
        <v>65</v>
      </c>
      <c r="B25" s="2">
        <v>28.049102535115846</v>
      </c>
      <c r="C25" s="2">
        <v>27.381232469075876</v>
      </c>
      <c r="D25" s="2">
        <v>11.773704184433054</v>
      </c>
      <c r="E25" s="2">
        <v>8.518281855011077</v>
      </c>
      <c r="F25" s="2">
        <v>10.573291839384677</v>
      </c>
      <c r="G25" s="2">
        <v>1.597580512529448</v>
      </c>
      <c r="H25" s="2">
        <v>0.65257883977145437</v>
      </c>
      <c r="I25" s="2">
        <v>2.6430540817079073</v>
      </c>
      <c r="J25" s="2">
        <v>91.188826317029338</v>
      </c>
      <c r="K25" s="2"/>
      <c r="O25" s="2"/>
      <c r="P25" s="2"/>
      <c r="Q25" s="2"/>
      <c r="R25" s="2"/>
      <c r="S25" s="2"/>
      <c r="T25" s="2"/>
      <c r="U25" s="2"/>
    </row>
    <row r="26" spans="1:21" x14ac:dyDescent="0.2">
      <c r="A26" s="26" t="s">
        <v>66</v>
      </c>
      <c r="B26" s="2">
        <v>27.762319100728742</v>
      </c>
      <c r="C26" s="2">
        <v>27.114446346978838</v>
      </c>
      <c r="D26" s="2">
        <v>11.881408657998715</v>
      </c>
      <c r="E26" s="2">
        <v>8.4145698798614497</v>
      </c>
      <c r="F26" s="2">
        <v>10.443588054334692</v>
      </c>
      <c r="G26" s="2">
        <v>1.5907986897839892</v>
      </c>
      <c r="H26" s="2">
        <v>0.64820048084836257</v>
      </c>
      <c r="I26" s="2">
        <v>2.6696020430699581</v>
      </c>
      <c r="J26" s="2">
        <v>90.524933253604758</v>
      </c>
      <c r="K26" s="2"/>
      <c r="O26" s="2"/>
      <c r="P26" s="2"/>
      <c r="Q26" s="2"/>
      <c r="R26" s="2"/>
      <c r="S26" s="2"/>
      <c r="T26" s="2"/>
      <c r="U26" s="2"/>
    </row>
    <row r="27" spans="1:21" x14ac:dyDescent="0.2">
      <c r="A27" s="26" t="s">
        <v>67</v>
      </c>
      <c r="B27" s="2">
        <v>28.251224365647399</v>
      </c>
      <c r="C27" s="2">
        <v>27.588604347486122</v>
      </c>
      <c r="D27" s="2">
        <v>12.375155755756007</v>
      </c>
      <c r="E27" s="2">
        <v>8.5075235919651178</v>
      </c>
      <c r="F27" s="2">
        <v>10.626992898314841</v>
      </c>
      <c r="G27" s="2">
        <v>1.6279151611848466</v>
      </c>
      <c r="H27" s="2">
        <v>0.66579667682298449</v>
      </c>
      <c r="I27" s="2">
        <v>2.7552236693722203</v>
      </c>
      <c r="J27" s="2">
        <v>92.398436466549512</v>
      </c>
      <c r="K27" s="2"/>
      <c r="O27" s="2"/>
      <c r="P27" s="2"/>
      <c r="Q27" s="2"/>
      <c r="R27" s="2"/>
      <c r="S27" s="2"/>
      <c r="T27" s="2"/>
      <c r="U27" s="2"/>
    </row>
    <row r="28" spans="1:21" x14ac:dyDescent="0.2">
      <c r="A28" s="26" t="s">
        <v>68</v>
      </c>
      <c r="B28" s="2">
        <v>29.104566600882393</v>
      </c>
      <c r="C28" s="2">
        <v>28.230373222457043</v>
      </c>
      <c r="D28" s="2">
        <v>12.98858506151692</v>
      </c>
      <c r="E28" s="2">
        <v>8.6691774305167097</v>
      </c>
      <c r="F28" s="2">
        <v>11.029755808599628</v>
      </c>
      <c r="G28" s="2">
        <v>1.6969919087042167</v>
      </c>
      <c r="H28" s="2">
        <v>0.68844149531726229</v>
      </c>
      <c r="I28" s="2">
        <v>2.8652201902857728</v>
      </c>
      <c r="J28" s="2">
        <v>95.273111718279949</v>
      </c>
      <c r="K28" s="2"/>
      <c r="O28" s="2"/>
      <c r="P28" s="2"/>
      <c r="Q28" s="2"/>
      <c r="R28" s="2"/>
      <c r="S28" s="2"/>
      <c r="T28" s="2"/>
      <c r="U28" s="2"/>
    </row>
    <row r="29" spans="1:21" x14ac:dyDescent="0.2">
      <c r="A29" s="26" t="s">
        <v>69</v>
      </c>
      <c r="B29" s="2">
        <v>29.89037835803536</v>
      </c>
      <c r="C29" s="2">
        <v>28.881317188918914</v>
      </c>
      <c r="D29" s="2">
        <v>13.503724507954635</v>
      </c>
      <c r="E29" s="2">
        <v>8.7126875379889395</v>
      </c>
      <c r="F29" s="2">
        <v>11.662880722814432</v>
      </c>
      <c r="G29" s="2">
        <v>1.747685442523661</v>
      </c>
      <c r="H29" s="2">
        <v>0.70950146738142306</v>
      </c>
      <c r="I29" s="2">
        <v>2.9466660741596788</v>
      </c>
      <c r="J29" s="2">
        <v>98.054841299777053</v>
      </c>
      <c r="K29" s="2"/>
      <c r="O29" s="2"/>
      <c r="P29" s="2"/>
      <c r="Q29" s="2"/>
      <c r="R29" s="2"/>
      <c r="S29" s="2"/>
      <c r="T29" s="2"/>
      <c r="U29" s="2"/>
    </row>
    <row r="30" spans="1:21" x14ac:dyDescent="0.2">
      <c r="A30" s="26" t="s">
        <v>70</v>
      </c>
      <c r="B30" s="2">
        <v>30.953675083780766</v>
      </c>
      <c r="C30" s="2">
        <v>29.813380159767636</v>
      </c>
      <c r="D30" s="2">
        <v>14.232447574870484</v>
      </c>
      <c r="E30" s="2">
        <v>8.8457809262515887</v>
      </c>
      <c r="F30" s="2">
        <v>12.448481054828495</v>
      </c>
      <c r="G30" s="2">
        <v>1.7938472695189389</v>
      </c>
      <c r="H30" s="2">
        <v>0.75533553108660811</v>
      </c>
      <c r="I30" s="2">
        <v>3.0381027894046295</v>
      </c>
      <c r="J30" s="2">
        <v>101.88105038950914</v>
      </c>
      <c r="K30" s="2"/>
      <c r="O30" s="2"/>
      <c r="P30" s="2"/>
      <c r="Q30" s="2"/>
      <c r="R30" s="2"/>
      <c r="S30" s="2"/>
      <c r="T30" s="2"/>
      <c r="U30" s="2"/>
    </row>
    <row r="31" spans="1:21" x14ac:dyDescent="0.2">
      <c r="A31" s="26" t="s">
        <v>71</v>
      </c>
      <c r="B31" s="2">
        <v>31.449579934506183</v>
      </c>
      <c r="C31" s="2">
        <v>30.337404571049969</v>
      </c>
      <c r="D31" s="2">
        <v>14.771241593272787</v>
      </c>
      <c r="E31" s="2">
        <v>8.8721171001944619</v>
      </c>
      <c r="F31" s="2">
        <v>12.827755105550283</v>
      </c>
      <c r="G31" s="2">
        <v>1.8168674437837566</v>
      </c>
      <c r="H31" s="2">
        <v>0.79478935525890693</v>
      </c>
      <c r="I31" s="2">
        <v>3.0778224041055982</v>
      </c>
      <c r="J31" s="2">
        <v>103.94757750772196</v>
      </c>
      <c r="K31" s="2"/>
      <c r="O31" s="2"/>
      <c r="P31" s="2"/>
      <c r="Q31" s="2"/>
      <c r="R31" s="2"/>
      <c r="S31" s="2"/>
      <c r="T31" s="2"/>
      <c r="U31" s="2"/>
    </row>
    <row r="32" spans="1:21" x14ac:dyDescent="0.2">
      <c r="A32" s="26" t="s">
        <v>72</v>
      </c>
      <c r="B32" s="2">
        <v>31.691492023977737</v>
      </c>
      <c r="C32" s="2">
        <v>30.684289178965354</v>
      </c>
      <c r="D32" s="2">
        <v>15.053299330660373</v>
      </c>
      <c r="E32" s="2">
        <v>8.9366151878501157</v>
      </c>
      <c r="F32" s="2">
        <v>13.0257217825136</v>
      </c>
      <c r="G32" s="2">
        <v>1.817698410627876</v>
      </c>
      <c r="H32" s="2">
        <v>0.81803636534632507</v>
      </c>
      <c r="I32" s="2">
        <v>3.08813559976501</v>
      </c>
      <c r="J32" s="2">
        <v>105.1152878797064</v>
      </c>
      <c r="K32" s="2"/>
      <c r="O32" s="2"/>
      <c r="P32" s="2"/>
      <c r="Q32" s="2"/>
      <c r="R32" s="2"/>
      <c r="S32" s="2"/>
      <c r="T32" s="2"/>
      <c r="U32" s="2"/>
    </row>
    <row r="33" spans="1:21" x14ac:dyDescent="0.2">
      <c r="A33" s="26" t="s">
        <v>73</v>
      </c>
      <c r="B33" s="2">
        <v>32.298464178927951</v>
      </c>
      <c r="C33" s="2">
        <v>31.308234959022609</v>
      </c>
      <c r="D33" s="2">
        <v>15.515133841825774</v>
      </c>
      <c r="E33" s="2">
        <v>9.0769878578155332</v>
      </c>
      <c r="F33" s="2">
        <v>13.25453771000492</v>
      </c>
      <c r="G33" s="2">
        <v>1.7937482992794156</v>
      </c>
      <c r="H33" s="2">
        <v>0.84055353883196349</v>
      </c>
      <c r="I33" s="2">
        <v>3.1073530029863443</v>
      </c>
      <c r="J33" s="2">
        <v>107.19501338869452</v>
      </c>
      <c r="K33" s="2"/>
      <c r="O33" s="2"/>
      <c r="P33" s="2"/>
      <c r="Q33" s="2"/>
      <c r="R33" s="2"/>
      <c r="S33" s="2"/>
      <c r="T33" s="2"/>
      <c r="U33" s="2"/>
    </row>
    <row r="34" spans="1:21" x14ac:dyDescent="0.2">
      <c r="A34" s="26" t="s">
        <v>74</v>
      </c>
      <c r="B34" s="2">
        <v>33.123573555072916</v>
      </c>
      <c r="C34" s="2">
        <v>32.029984277184298</v>
      </c>
      <c r="D34" s="2">
        <v>15.832681330774747</v>
      </c>
      <c r="E34" s="2">
        <v>9.3412563817292256</v>
      </c>
      <c r="F34" s="2">
        <v>13.553624549191468</v>
      </c>
      <c r="G34" s="2">
        <v>1.7844874186651121</v>
      </c>
      <c r="H34" s="2">
        <v>0.85264491391559305</v>
      </c>
      <c r="I34" s="2">
        <v>3.1688077131222783</v>
      </c>
      <c r="J34" s="2">
        <v>109.68706013965563</v>
      </c>
      <c r="K34" s="2"/>
      <c r="O34" s="2"/>
      <c r="P34" s="2"/>
      <c r="Q34" s="2"/>
      <c r="R34" s="2"/>
      <c r="S34" s="2"/>
      <c r="T34" s="2"/>
      <c r="U34" s="2"/>
    </row>
    <row r="35" spans="1:21" x14ac:dyDescent="0.2">
      <c r="A35" s="26" t="s">
        <v>75</v>
      </c>
      <c r="B35" s="2">
        <v>33.974046286603425</v>
      </c>
      <c r="C35" s="2">
        <v>32.69748756542068</v>
      </c>
      <c r="D35" s="2">
        <v>16.30613809639862</v>
      </c>
      <c r="E35" s="2">
        <v>9.6076146429913472</v>
      </c>
      <c r="F35" s="2">
        <v>13.74810526573779</v>
      </c>
      <c r="G35" s="2">
        <v>1.7897098579921966</v>
      </c>
      <c r="H35" s="2">
        <v>0.86164490730628052</v>
      </c>
      <c r="I35" s="2">
        <v>3.2313392566901475</v>
      </c>
      <c r="J35" s="2">
        <v>112.21608587914051</v>
      </c>
      <c r="K35" s="2"/>
      <c r="O35" s="2"/>
      <c r="P35" s="2"/>
      <c r="Q35" s="2"/>
      <c r="R35" s="2"/>
      <c r="S35" s="2"/>
      <c r="T35" s="2"/>
      <c r="U35" s="2"/>
    </row>
    <row r="36" spans="1:21" x14ac:dyDescent="0.2">
      <c r="A36" s="26" t="s">
        <v>76</v>
      </c>
      <c r="B36" s="2">
        <v>33.886557933904015</v>
      </c>
      <c r="C36" s="2">
        <v>32.80329725285852</v>
      </c>
      <c r="D36" s="2">
        <v>16.37867526053569</v>
      </c>
      <c r="E36" s="2">
        <v>9.5738107886088635</v>
      </c>
      <c r="F36" s="2">
        <v>13.620838989158305</v>
      </c>
      <c r="G36" s="2">
        <v>1.7495828510242988</v>
      </c>
      <c r="H36" s="2">
        <v>0.84130613321201508</v>
      </c>
      <c r="I36" s="2">
        <v>3.1813544023905513</v>
      </c>
      <c r="J36" s="2">
        <v>112.03542361169227</v>
      </c>
      <c r="K36" s="2"/>
      <c r="O36" s="2"/>
      <c r="P36" s="2"/>
      <c r="Q36" s="2"/>
      <c r="R36" s="2"/>
      <c r="S36" s="2"/>
      <c r="T36" s="2"/>
      <c r="U36" s="2"/>
    </row>
    <row r="37" spans="1:21" x14ac:dyDescent="0.2">
      <c r="A37" s="26" t="s">
        <v>77</v>
      </c>
      <c r="B37" s="2">
        <v>34.651911413232583</v>
      </c>
      <c r="C37" s="2">
        <v>33.529780940221102</v>
      </c>
      <c r="D37" s="2">
        <v>16.990988070505175</v>
      </c>
      <c r="E37" s="2">
        <v>9.7350863287033231</v>
      </c>
      <c r="F37" s="2">
        <v>13.968763061337524</v>
      </c>
      <c r="G37" s="2">
        <v>1.7896659372175856</v>
      </c>
      <c r="H37" s="2">
        <v>0.85309965516691766</v>
      </c>
      <c r="I37" s="2">
        <v>3.2549270034208018</v>
      </c>
      <c r="J37" s="2">
        <v>114.77422240980502</v>
      </c>
      <c r="K37" s="2"/>
      <c r="O37" s="2"/>
      <c r="P37" s="2"/>
      <c r="Q37" s="2"/>
      <c r="R37" s="2"/>
      <c r="S37" s="2"/>
      <c r="T37" s="2"/>
      <c r="U37" s="2"/>
    </row>
    <row r="38" spans="1:21" x14ac:dyDescent="0.2">
      <c r="A38" s="26" t="s">
        <v>78</v>
      </c>
      <c r="B38" s="2">
        <v>35.303229398284344</v>
      </c>
      <c r="C38" s="2">
        <v>34.206240241818882</v>
      </c>
      <c r="D38" s="2">
        <v>17.542310186963988</v>
      </c>
      <c r="E38" s="2">
        <v>10.046661438502511</v>
      </c>
      <c r="F38" s="2">
        <v>14.368459850610144</v>
      </c>
      <c r="G38" s="2">
        <v>1.8524919227139063</v>
      </c>
      <c r="H38" s="2">
        <v>0.86567474853882709</v>
      </c>
      <c r="I38" s="2">
        <v>3.3632825002114761</v>
      </c>
      <c r="J38" s="2">
        <v>117.54835028764407</v>
      </c>
      <c r="K38" s="2"/>
      <c r="O38" s="2"/>
      <c r="P38" s="2"/>
      <c r="Q38" s="2"/>
      <c r="R38" s="2"/>
      <c r="S38" s="2"/>
      <c r="T38" s="2"/>
      <c r="U38" s="2"/>
    </row>
    <row r="39" spans="1:21" x14ac:dyDescent="0.2">
      <c r="A39" s="26" t="s">
        <v>79</v>
      </c>
      <c r="B39" s="2">
        <v>36.875066924670243</v>
      </c>
      <c r="C39" s="2">
        <v>35.350021976010915</v>
      </c>
      <c r="D39" s="2">
        <v>18.662266281277944</v>
      </c>
      <c r="E39" s="2">
        <v>10.179238225153529</v>
      </c>
      <c r="F39" s="2">
        <v>15.083735154277049</v>
      </c>
      <c r="G39" s="2">
        <v>1.9375821711296317</v>
      </c>
      <c r="H39" s="2">
        <v>0.89482565524991053</v>
      </c>
      <c r="I39" s="2">
        <v>3.5065602705520553</v>
      </c>
      <c r="J39" s="2">
        <v>122.48929665832128</v>
      </c>
      <c r="K39" s="2"/>
      <c r="O39" s="2"/>
      <c r="P39" s="2"/>
      <c r="Q39" s="2"/>
      <c r="R39" s="2"/>
      <c r="S39" s="2"/>
      <c r="T39" s="2"/>
      <c r="U39" s="2"/>
    </row>
    <row r="40" spans="1:21" x14ac:dyDescent="0.2">
      <c r="A40" s="26" t="s">
        <v>80</v>
      </c>
      <c r="B40" s="2">
        <v>37.122735944106417</v>
      </c>
      <c r="C40" s="2">
        <v>35.649597048002555</v>
      </c>
      <c r="D40" s="2">
        <v>19.051250197489999</v>
      </c>
      <c r="E40" s="2">
        <v>10.028559582053497</v>
      </c>
      <c r="F40" s="2">
        <v>15.346439316916097</v>
      </c>
      <c r="G40" s="2">
        <v>1.9165180357147489</v>
      </c>
      <c r="H40" s="2">
        <v>0.89322407850274799</v>
      </c>
      <c r="I40" s="2">
        <v>3.5163460163702154</v>
      </c>
      <c r="J40" s="2">
        <v>123.52467021915629</v>
      </c>
      <c r="K40" s="2"/>
      <c r="O40" s="2"/>
      <c r="P40" s="2"/>
      <c r="Q40" s="2"/>
      <c r="R40" s="2"/>
      <c r="S40" s="2"/>
      <c r="T40" s="2"/>
      <c r="U40" s="2"/>
    </row>
    <row r="41" spans="1:21" x14ac:dyDescent="0.2">
      <c r="A41" s="26" t="s">
        <v>81</v>
      </c>
      <c r="B41" s="2">
        <v>36.635266902605267</v>
      </c>
      <c r="C41" s="2">
        <v>35.50202527359955</v>
      </c>
      <c r="D41" s="2">
        <v>19.194268469943161</v>
      </c>
      <c r="E41" s="2">
        <v>9.9019130286475896</v>
      </c>
      <c r="F41" s="2">
        <v>15.219770277804974</v>
      </c>
      <c r="G41" s="2">
        <v>1.9036266938281423</v>
      </c>
      <c r="H41" s="2">
        <v>0.89877666163536685</v>
      </c>
      <c r="I41" s="2">
        <v>3.4926066167834731</v>
      </c>
      <c r="J41" s="2">
        <v>122.74825392484752</v>
      </c>
      <c r="K41" s="2"/>
      <c r="O41" s="2"/>
      <c r="P41" s="2"/>
      <c r="Q41" s="2"/>
      <c r="R41" s="2"/>
      <c r="S41" s="2"/>
      <c r="T41" s="2"/>
      <c r="U41" s="2"/>
    </row>
    <row r="42" spans="1:21" x14ac:dyDescent="0.2">
      <c r="A42" s="26" t="s">
        <v>82</v>
      </c>
      <c r="B42" s="2">
        <v>37.039351445936134</v>
      </c>
      <c r="C42" s="2">
        <v>35.767391898012825</v>
      </c>
      <c r="D42" s="2">
        <v>19.850409938130142</v>
      </c>
      <c r="E42" s="2">
        <v>10.009136819980682</v>
      </c>
      <c r="F42" s="2">
        <v>15.639969941116531</v>
      </c>
      <c r="G42" s="2">
        <v>1.9366627467874544</v>
      </c>
      <c r="H42" s="2">
        <v>0.93131741606224483</v>
      </c>
      <c r="I42" s="2">
        <v>3.5476158851593054</v>
      </c>
      <c r="J42" s="2">
        <v>124.72185609118532</v>
      </c>
      <c r="K42" s="2"/>
      <c r="O42" s="2"/>
      <c r="P42" s="2"/>
      <c r="Q42" s="2"/>
      <c r="R42" s="2"/>
      <c r="S42" s="2"/>
      <c r="T42" s="2"/>
      <c r="U42" s="2"/>
    </row>
    <row r="43" spans="1:21" x14ac:dyDescent="0.2">
      <c r="A43" s="26" t="s">
        <v>83</v>
      </c>
      <c r="B43" s="2">
        <v>37.441101074141834</v>
      </c>
      <c r="C43" s="2">
        <v>36.378467549888683</v>
      </c>
      <c r="D43" s="2">
        <v>20.491006349083779</v>
      </c>
      <c r="E43" s="2">
        <v>9.8339550021998932</v>
      </c>
      <c r="F43" s="2">
        <v>15.832071317931717</v>
      </c>
      <c r="G43" s="2">
        <v>1.9520844973947973</v>
      </c>
      <c r="H43" s="2">
        <v>0.96682819503120565</v>
      </c>
      <c r="I43" s="2">
        <v>3.5789268280817836</v>
      </c>
      <c r="J43" s="2">
        <v>126.47444081375369</v>
      </c>
      <c r="K43" s="2"/>
      <c r="O43" s="2"/>
      <c r="P43" s="2"/>
      <c r="Q43" s="2"/>
      <c r="R43" s="2"/>
      <c r="S43" s="2"/>
      <c r="T43" s="2"/>
      <c r="U43" s="2"/>
    </row>
    <row r="44" spans="1:21" x14ac:dyDescent="0.2">
      <c r="A44" s="26" t="s">
        <v>84</v>
      </c>
      <c r="B44" s="2">
        <v>37.484236433968469</v>
      </c>
      <c r="C44" s="2">
        <v>36.1116243264457</v>
      </c>
      <c r="D44" s="2">
        <v>20.516488487516391</v>
      </c>
      <c r="E44" s="2">
        <v>9.8073542041846942</v>
      </c>
      <c r="F44" s="2">
        <v>16.263339552921412</v>
      </c>
      <c r="G44" s="2">
        <v>1.9382876010400734</v>
      </c>
      <c r="H44" s="2">
        <v>0.98981003480932694</v>
      </c>
      <c r="I44" s="2">
        <v>3.5904799736241197</v>
      </c>
      <c r="J44" s="2">
        <v>126.70162061451016</v>
      </c>
      <c r="K44" s="2"/>
      <c r="O44" s="2"/>
      <c r="P44" s="2"/>
      <c r="Q44" s="2"/>
      <c r="R44" s="2"/>
      <c r="S44" s="2"/>
      <c r="T44" s="2"/>
      <c r="U44" s="2"/>
    </row>
    <row r="45" spans="1:21" x14ac:dyDescent="0.2">
      <c r="A45" s="26" t="s">
        <v>85</v>
      </c>
      <c r="B45" s="2">
        <v>37.993120315210952</v>
      </c>
      <c r="C45" s="2">
        <v>36.8059241735738</v>
      </c>
      <c r="D45" s="2">
        <v>20.906617684177192</v>
      </c>
      <c r="E45" s="2">
        <v>9.9342492251461394</v>
      </c>
      <c r="F45" s="2">
        <v>16.29663373429208</v>
      </c>
      <c r="G45" s="2">
        <v>1.9272181435868028</v>
      </c>
      <c r="H45" s="2">
        <v>1.0015421806856002</v>
      </c>
      <c r="I45" s="2">
        <v>3.6232924417569561</v>
      </c>
      <c r="J45" s="2">
        <v>128.4885978984295</v>
      </c>
      <c r="K45" s="2"/>
      <c r="O45" s="2"/>
      <c r="P45" s="2"/>
      <c r="Q45" s="2"/>
      <c r="R45" s="2"/>
      <c r="S45" s="2"/>
      <c r="T45" s="2"/>
      <c r="U45" s="2"/>
    </row>
    <row r="46" spans="1:21" x14ac:dyDescent="0.2">
      <c r="A46" s="26" t="s">
        <v>86</v>
      </c>
      <c r="B46" s="2">
        <v>38.7632826718052</v>
      </c>
      <c r="C46" s="2">
        <v>37.655869311156771</v>
      </c>
      <c r="D46" s="2">
        <v>21.223753409699412</v>
      </c>
      <c r="E46" s="2">
        <v>9.9253264295125092</v>
      </c>
      <c r="F46" s="2">
        <v>16.55581965469138</v>
      </c>
      <c r="G46" s="2">
        <v>1.9328144619450647</v>
      </c>
      <c r="H46" s="2">
        <v>1.0159085836764457</v>
      </c>
      <c r="I46" s="2">
        <v>3.6765804905290946</v>
      </c>
      <c r="J46" s="2">
        <v>130.7493550130159</v>
      </c>
      <c r="K46" s="2"/>
      <c r="O46" s="2"/>
      <c r="P46" s="2"/>
      <c r="Q46" s="2"/>
      <c r="R46" s="2"/>
      <c r="S46" s="2"/>
      <c r="T46" s="2"/>
      <c r="U46" s="2"/>
    </row>
    <row r="47" spans="1:21" x14ac:dyDescent="0.2">
      <c r="A47" s="26" t="s">
        <v>87</v>
      </c>
      <c r="B47" s="2">
        <v>39.128847739890375</v>
      </c>
      <c r="C47" s="2">
        <v>38.343836634874911</v>
      </c>
      <c r="D47" s="2">
        <v>21.654562175990964</v>
      </c>
      <c r="E47" s="2">
        <v>9.9044929455698973</v>
      </c>
      <c r="F47" s="2">
        <v>16.949356467695637</v>
      </c>
      <c r="G47" s="2">
        <v>1.9388476465515647</v>
      </c>
      <c r="H47" s="2">
        <v>1.0297058815339726</v>
      </c>
      <c r="I47" s="2">
        <v>3.7487974580702614</v>
      </c>
      <c r="J47" s="2">
        <v>132.69844695017761</v>
      </c>
      <c r="K47" s="2"/>
      <c r="O47" s="2"/>
      <c r="P47" s="2"/>
      <c r="Q47" s="2"/>
      <c r="R47" s="2"/>
      <c r="S47" s="2"/>
      <c r="T47" s="2"/>
      <c r="U47" s="2"/>
    </row>
    <row r="48" spans="1:21" x14ac:dyDescent="0.2">
      <c r="A48" s="26" t="s">
        <v>27</v>
      </c>
      <c r="B48" s="2">
        <v>40.017930263387321</v>
      </c>
      <c r="C48" s="2">
        <v>39.29359059310579</v>
      </c>
      <c r="D48" s="2">
        <v>22.302203885494166</v>
      </c>
      <c r="E48" s="2">
        <v>10.126866893443783</v>
      </c>
      <c r="F48" s="2">
        <v>17.327667994538725</v>
      </c>
      <c r="G48" s="2">
        <v>1.9571683669868909</v>
      </c>
      <c r="H48" s="2">
        <v>1.0629434145479892</v>
      </c>
      <c r="I48" s="2">
        <v>3.8483976622836988</v>
      </c>
      <c r="J48" s="2">
        <v>135.93676907378835</v>
      </c>
      <c r="K48" s="2"/>
      <c r="O48" s="2"/>
      <c r="P48" s="2"/>
      <c r="Q48" s="2"/>
      <c r="R48" s="2"/>
      <c r="S48" s="2"/>
      <c r="T48" s="2"/>
      <c r="U48" s="2"/>
    </row>
    <row r="49" spans="1:23" x14ac:dyDescent="0.2">
      <c r="A49" s="26" t="s">
        <v>28</v>
      </c>
      <c r="B49" s="2">
        <v>40.590760270627534</v>
      </c>
      <c r="C49" s="2">
        <v>40.157440833922415</v>
      </c>
      <c r="D49" s="2">
        <v>22.702355569022782</v>
      </c>
      <c r="E49" s="2">
        <v>10.36189083732182</v>
      </c>
      <c r="F49" s="2">
        <v>17.758828301039632</v>
      </c>
      <c r="G49" s="2">
        <v>1.9785744002028909</v>
      </c>
      <c r="H49" s="2">
        <v>1.0919911710448613</v>
      </c>
      <c r="I49" s="2">
        <v>3.9060023975232263</v>
      </c>
      <c r="J49" s="2">
        <v>138.54784378070516</v>
      </c>
      <c r="K49" s="2"/>
      <c r="O49" s="2"/>
      <c r="P49" s="2"/>
      <c r="Q49" s="2"/>
      <c r="R49" s="2"/>
      <c r="S49" s="2"/>
      <c r="T49" s="2"/>
      <c r="U49" s="2"/>
    </row>
    <row r="50" spans="1:23" x14ac:dyDescent="0.2">
      <c r="A50" s="26" t="s">
        <v>29</v>
      </c>
      <c r="B50" s="2">
        <v>41.158378224132846</v>
      </c>
      <c r="C50" s="2">
        <v>40.839825275027081</v>
      </c>
      <c r="D50" s="2">
        <v>23.094926325204142</v>
      </c>
      <c r="E50" s="2">
        <v>10.485094092765914</v>
      </c>
      <c r="F50" s="2">
        <v>18.102519514875887</v>
      </c>
      <c r="G50" s="2">
        <v>1.9923360109580801</v>
      </c>
      <c r="H50" s="2">
        <v>1.1027352301360756</v>
      </c>
      <c r="I50" s="2">
        <v>3.9496281520207486</v>
      </c>
      <c r="J50" s="2">
        <v>140.72544282512075</v>
      </c>
      <c r="K50" s="2"/>
      <c r="O50" s="2"/>
      <c r="P50" s="2"/>
      <c r="Q50" s="2"/>
      <c r="R50" s="2"/>
      <c r="S50" s="2"/>
      <c r="T50" s="2"/>
      <c r="U50" s="2"/>
    </row>
    <row r="51" spans="1:23" x14ac:dyDescent="0.2">
      <c r="A51" s="26" t="s">
        <v>30</v>
      </c>
      <c r="B51" s="2">
        <v>41.622936404375082</v>
      </c>
      <c r="C51" s="2">
        <v>41.307795530987306</v>
      </c>
      <c r="D51" s="2">
        <v>23.489617196224764</v>
      </c>
      <c r="E51" s="2">
        <v>10.552944220705534</v>
      </c>
      <c r="F51" s="2">
        <v>18.451545345691315</v>
      </c>
      <c r="G51" s="2">
        <v>2.0018331747363645</v>
      </c>
      <c r="H51" s="2">
        <v>1.1094117894631783</v>
      </c>
      <c r="I51" s="2">
        <v>3.9801505083315245</v>
      </c>
      <c r="J51" s="2">
        <v>142.51623417051505</v>
      </c>
      <c r="K51" s="2"/>
      <c r="O51" s="2"/>
      <c r="P51" s="2"/>
      <c r="Q51" s="2"/>
      <c r="R51" s="2"/>
      <c r="S51" s="2"/>
      <c r="T51" s="2"/>
      <c r="U51" s="2"/>
    </row>
    <row r="52" spans="1:23" x14ac:dyDescent="0.2">
      <c r="A52" s="26" t="s">
        <v>31</v>
      </c>
      <c r="B52" s="2">
        <v>42.224862733791383</v>
      </c>
      <c r="C52" s="2">
        <v>41.951025891191335</v>
      </c>
      <c r="D52" s="2">
        <v>23.8182514749506</v>
      </c>
      <c r="E52" s="2">
        <v>10.624251852471476</v>
      </c>
      <c r="F52" s="2">
        <v>18.557704673745235</v>
      </c>
      <c r="G52" s="2">
        <v>2.0065277329524362</v>
      </c>
      <c r="H52" s="2">
        <v>1.1426373311301181</v>
      </c>
      <c r="I52" s="2">
        <v>4.0273397019909662</v>
      </c>
      <c r="J52" s="2">
        <v>144.35260139222353</v>
      </c>
      <c r="K52" s="2"/>
      <c r="O52" s="2"/>
      <c r="P52" s="2"/>
      <c r="Q52" s="2"/>
      <c r="R52" s="2"/>
      <c r="S52" s="2"/>
      <c r="T52" s="2"/>
      <c r="U52" s="2"/>
    </row>
    <row r="53" spans="1:23" x14ac:dyDescent="0.2">
      <c r="A53" s="26" t="s">
        <v>32</v>
      </c>
      <c r="B53" s="2">
        <v>42.679024125689388</v>
      </c>
      <c r="C53" s="2">
        <v>42.582211807670085</v>
      </c>
      <c r="D53" s="2">
        <v>24.072569513396406</v>
      </c>
      <c r="E53" s="2">
        <v>10.702152955622704</v>
      </c>
      <c r="F53" s="2">
        <v>18.604832111282896</v>
      </c>
      <c r="G53" s="2">
        <v>2.0654060667776313</v>
      </c>
      <c r="H53" s="2">
        <v>1.1825917592322446</v>
      </c>
      <c r="I53" s="2">
        <v>4.0754685157906767</v>
      </c>
      <c r="J53" s="2">
        <v>145.96425685546203</v>
      </c>
      <c r="K53" s="2"/>
      <c r="O53" s="2"/>
      <c r="P53" s="2"/>
      <c r="Q53" s="2"/>
      <c r="R53" s="2"/>
      <c r="S53" s="2"/>
      <c r="T53" s="2"/>
      <c r="U53" s="2"/>
    </row>
    <row r="54" spans="1:23" x14ac:dyDescent="0.2">
      <c r="A54" s="26" t="s">
        <v>88</v>
      </c>
      <c r="B54" s="2">
        <v>42.492158833449132</v>
      </c>
      <c r="C54" s="2">
        <v>42.833995840418048</v>
      </c>
      <c r="D54" s="2">
        <v>24.226201301751299</v>
      </c>
      <c r="E54" s="2">
        <v>10.526357409508769</v>
      </c>
      <c r="F54" s="2">
        <v>18.563345881784986</v>
      </c>
      <c r="G54" s="2">
        <v>2.069799817926913</v>
      </c>
      <c r="H54" s="2">
        <v>1.1788966553280604</v>
      </c>
      <c r="I54" s="2">
        <v>4.0576325094938053</v>
      </c>
      <c r="J54" s="2">
        <v>145.94838824966101</v>
      </c>
      <c r="K54" s="2"/>
      <c r="O54" s="2"/>
      <c r="P54" s="2"/>
      <c r="Q54" s="2"/>
      <c r="R54" s="2"/>
      <c r="S54" s="2"/>
      <c r="T54" s="2"/>
      <c r="U54" s="2"/>
    </row>
    <row r="55" spans="1:23" x14ac:dyDescent="0.2">
      <c r="A55" s="26" t="s">
        <v>89</v>
      </c>
      <c r="B55" s="2">
        <v>39.010962620147247</v>
      </c>
      <c r="C55" s="2">
        <v>40.159188165576488</v>
      </c>
      <c r="D55" s="2">
        <v>23.175591914041451</v>
      </c>
      <c r="E55" s="2">
        <v>9.9660930360038886</v>
      </c>
      <c r="F55" s="2">
        <v>17.878855362315253</v>
      </c>
      <c r="G55" s="2">
        <v>1.9419528551478666</v>
      </c>
      <c r="H55" s="2">
        <v>1.1372139421641643</v>
      </c>
      <c r="I55" s="2">
        <v>3.8438343583368448</v>
      </c>
      <c r="J55" s="2">
        <v>137.11369225373318</v>
      </c>
      <c r="K55" s="2"/>
      <c r="O55" s="2"/>
      <c r="P55" s="2"/>
      <c r="Q55" s="2"/>
      <c r="R55" s="2"/>
      <c r="S55" s="2"/>
      <c r="T55" s="2"/>
      <c r="U55" s="2"/>
    </row>
    <row r="56" spans="1:23" x14ac:dyDescent="0.2">
      <c r="A56" s="26" t="s">
        <v>90</v>
      </c>
      <c r="B56" s="2">
        <v>39.896152267976298</v>
      </c>
      <c r="C56" s="2">
        <v>36.479480933025449</v>
      </c>
      <c r="D56" s="2">
        <v>24.314174296814336</v>
      </c>
      <c r="E56" s="2">
        <v>10.253880215975164</v>
      </c>
      <c r="F56" s="2">
        <v>18.54490681092464</v>
      </c>
      <c r="G56" s="2">
        <v>1.9947188054096463</v>
      </c>
      <c r="H56" s="2">
        <v>1.1787780097954623</v>
      </c>
      <c r="I56" s="2">
        <v>4.0193731952747616</v>
      </c>
      <c r="J56" s="2">
        <v>136.68146453519572</v>
      </c>
      <c r="K56" s="2"/>
      <c r="O56" s="2"/>
      <c r="P56" s="2"/>
      <c r="Q56" s="2"/>
      <c r="R56" s="2"/>
      <c r="S56" s="2"/>
      <c r="T56" s="2"/>
      <c r="U56" s="2"/>
    </row>
    <row r="57" spans="1:23" x14ac:dyDescent="0.2">
      <c r="A57" s="26" t="s">
        <v>183</v>
      </c>
      <c r="B57" s="2">
        <v>36.383709119259052</v>
      </c>
      <c r="C57" s="2">
        <v>38.056629064905366</v>
      </c>
      <c r="D57" s="2">
        <v>23.812380146777492</v>
      </c>
      <c r="E57" s="2">
        <v>9.8216581719597613</v>
      </c>
      <c r="F57" s="2">
        <v>18.570858651412845</v>
      </c>
      <c r="G57" s="2">
        <v>1.9461815868266352</v>
      </c>
      <c r="H57" s="2">
        <v>1.1491909133240408</v>
      </c>
      <c r="I57" s="2">
        <v>3.8258597965649019</v>
      </c>
      <c r="J57" s="2">
        <v>133.56646745103012</v>
      </c>
      <c r="K57" s="2"/>
      <c r="O57" s="2"/>
      <c r="P57" s="2"/>
      <c r="Q57" s="2"/>
      <c r="R57" s="2"/>
      <c r="S57" s="2"/>
      <c r="T57" s="2"/>
      <c r="U57" s="2"/>
    </row>
    <row r="58" spans="1:23" x14ac:dyDescent="0.2">
      <c r="A58" s="26" t="s">
        <v>184</v>
      </c>
      <c r="B58" s="2">
        <v>40.690650687745261</v>
      </c>
      <c r="C58" s="2">
        <v>40.876339836295195</v>
      </c>
      <c r="D58" s="2">
        <v>24.523793057366152</v>
      </c>
      <c r="E58" s="2">
        <v>10.162802982143035</v>
      </c>
      <c r="F58" s="2">
        <v>19.308487734457174</v>
      </c>
      <c r="G58" s="2">
        <v>1.9126191223104256</v>
      </c>
      <c r="H58" s="2">
        <v>1.1432758041588305</v>
      </c>
      <c r="I58" s="2">
        <v>4.0538338386056134</v>
      </c>
      <c r="J58" s="2">
        <v>142.67180306308165</v>
      </c>
      <c r="K58" s="2"/>
      <c r="O58" s="2"/>
      <c r="P58" s="2"/>
      <c r="Q58" s="2"/>
      <c r="R58" s="2"/>
      <c r="S58" s="2"/>
      <c r="T58" s="2"/>
      <c r="U58" s="2"/>
    </row>
    <row r="59" spans="1:23" x14ac:dyDescent="0.2">
      <c r="A59" s="26" t="s">
        <v>209</v>
      </c>
      <c r="B59" s="2">
        <v>41.736191380677745</v>
      </c>
      <c r="C59" s="2">
        <v>42.026164992489491</v>
      </c>
      <c r="D59" s="2">
        <v>25.201070877133287</v>
      </c>
      <c r="E59" s="2">
        <v>10.350468022523556</v>
      </c>
      <c r="F59" s="2">
        <v>19.936571589636824</v>
      </c>
      <c r="G59" s="2">
        <v>1.9285174141333721</v>
      </c>
      <c r="H59" s="2">
        <v>1.1534257476432144</v>
      </c>
      <c r="I59" s="2">
        <v>4.156524203073376</v>
      </c>
      <c r="J59" s="2">
        <v>146.48893422731089</v>
      </c>
      <c r="K59" s="2"/>
      <c r="O59" s="2"/>
      <c r="P59" s="2"/>
      <c r="Q59" s="2"/>
      <c r="R59" s="2"/>
      <c r="S59" s="2"/>
      <c r="T59" s="2"/>
      <c r="U59" s="2"/>
    </row>
    <row r="60" spans="1:23" x14ac:dyDescent="0.2">
      <c r="A60" s="26" t="s">
        <v>223</v>
      </c>
      <c r="B60" s="2">
        <v>42.294540745890927</v>
      </c>
      <c r="C60" s="2">
        <v>42.80790333800352</v>
      </c>
      <c r="D60" s="2">
        <v>25.657387085630614</v>
      </c>
      <c r="E60" s="2">
        <v>10.469558030781434</v>
      </c>
      <c r="F60" s="2">
        <v>20.389336027854803</v>
      </c>
      <c r="G60" s="2">
        <v>1.936739325494508</v>
      </c>
      <c r="H60" s="2">
        <v>1.1700346428422423</v>
      </c>
      <c r="I60" s="2">
        <v>4.2170735133115222</v>
      </c>
      <c r="J60" s="2">
        <v>148.94257270980958</v>
      </c>
      <c r="K60" s="2"/>
      <c r="O60" s="2"/>
      <c r="P60" s="2"/>
      <c r="Q60" s="2"/>
      <c r="R60" s="2"/>
      <c r="S60" s="2"/>
      <c r="T60" s="2"/>
      <c r="U60" s="2"/>
    </row>
    <row r="61" spans="1:23" x14ac:dyDescent="0.2">
      <c r="A61" s="36" t="s">
        <v>307</v>
      </c>
      <c r="B61" s="37"/>
      <c r="C61" s="37"/>
      <c r="D61" s="37"/>
      <c r="E61" s="37"/>
      <c r="F61" s="37"/>
      <c r="G61" s="37"/>
      <c r="H61" s="37"/>
      <c r="I61" s="37"/>
      <c r="J61" s="37"/>
      <c r="O61" s="2"/>
      <c r="P61" s="2"/>
      <c r="Q61" s="2"/>
      <c r="R61" s="2"/>
      <c r="S61" s="2"/>
      <c r="T61" s="2"/>
      <c r="U61" s="2"/>
      <c r="V61" s="2"/>
      <c r="W61" s="2"/>
    </row>
    <row r="62" spans="1:23" ht="12.75" customHeight="1" x14ac:dyDescent="0.2">
      <c r="A62" s="139" t="s">
        <v>311</v>
      </c>
      <c r="B62" s="35"/>
      <c r="C62" s="35"/>
      <c r="D62" s="35"/>
      <c r="E62" s="35"/>
      <c r="F62" s="35"/>
      <c r="G62" s="35"/>
      <c r="H62" s="35"/>
      <c r="I62" s="35"/>
      <c r="J62" s="35"/>
    </row>
    <row r="63" spans="1:23" ht="12.75" customHeight="1" x14ac:dyDescent="0.2">
      <c r="A63" s="26" t="s">
        <v>312</v>
      </c>
      <c r="B63" s="35"/>
      <c r="C63" s="35"/>
      <c r="D63" s="35"/>
      <c r="E63" s="35"/>
      <c r="F63" s="35"/>
      <c r="G63" s="35"/>
      <c r="H63" s="35"/>
      <c r="I63" s="35"/>
      <c r="J63" s="35"/>
    </row>
    <row r="64" spans="1:23" x14ac:dyDescent="0.2">
      <c r="A64" s="196" t="s">
        <v>91</v>
      </c>
      <c r="B64" s="196"/>
      <c r="C64" s="196"/>
      <c r="D64" s="196"/>
      <c r="E64" s="196"/>
      <c r="F64" s="196"/>
      <c r="G64" s="196"/>
      <c r="H64" s="196"/>
      <c r="I64" s="196"/>
      <c r="J64" s="196"/>
    </row>
  </sheetData>
  <mergeCells count="4">
    <mergeCell ref="H2:I2"/>
    <mergeCell ref="A3:A4"/>
    <mergeCell ref="B5:J5"/>
    <mergeCell ref="A64:J64"/>
  </mergeCells>
  <pageMargins left="0.74803149606299213" right="0.74803149606299213" top="0.98425196850393704" bottom="0.98425196850393704" header="0.51181102362204722" footer="0.51181102362204722"/>
  <pageSetup paperSize="9" scale="88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9"/>
  <sheetViews>
    <sheetView tabSelected="1" zoomScale="83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3" sqref="D23"/>
    </sheetView>
  </sheetViews>
  <sheetFormatPr defaultColWidth="9.140625" defaultRowHeight="12.75" x14ac:dyDescent="0.2"/>
  <cols>
    <col min="1" max="1" width="8.7109375" style="8" customWidth="1"/>
    <col min="2" max="5" width="19.7109375" style="5" customWidth="1"/>
    <col min="6" max="16384" width="9.140625" style="5"/>
  </cols>
  <sheetData>
    <row r="1" spans="1:13" x14ac:dyDescent="0.2">
      <c r="A1" s="4"/>
    </row>
    <row r="2" spans="1:13" x14ac:dyDescent="0.2">
      <c r="A2" s="6" t="s">
        <v>265</v>
      </c>
      <c r="B2" s="7"/>
      <c r="C2" s="7"/>
      <c r="D2" s="7"/>
      <c r="E2" s="7"/>
    </row>
    <row r="3" spans="1:13" ht="25.5" x14ac:dyDescent="0.2">
      <c r="A3" s="99" t="s">
        <v>38</v>
      </c>
      <c r="B3" s="9" t="s">
        <v>42</v>
      </c>
      <c r="C3" s="9" t="s">
        <v>95</v>
      </c>
      <c r="D3" s="9" t="s">
        <v>44</v>
      </c>
      <c r="E3" s="9" t="s">
        <v>96</v>
      </c>
      <c r="J3" s="162"/>
    </row>
    <row r="4" spans="1:13" x14ac:dyDescent="0.2">
      <c r="A4" s="6"/>
      <c r="B4" s="200" t="s">
        <v>292</v>
      </c>
      <c r="C4" s="200"/>
      <c r="D4" s="200"/>
      <c r="E4" s="200"/>
      <c r="F4" s="10"/>
      <c r="G4" s="10"/>
      <c r="H4" s="10"/>
      <c r="I4" s="10"/>
      <c r="J4" s="10"/>
    </row>
    <row r="5" spans="1:13" x14ac:dyDescent="0.2">
      <c r="A5" s="8" t="s">
        <v>88</v>
      </c>
      <c r="B5" s="11">
        <v>5.4637597002713978</v>
      </c>
      <c r="C5" s="11">
        <v>39.322286059634088</v>
      </c>
      <c r="D5" s="11">
        <v>176.21547630339319</v>
      </c>
      <c r="E5" s="11">
        <v>221.00152206329867</v>
      </c>
      <c r="F5" s="11"/>
      <c r="G5" s="11"/>
      <c r="H5" s="129"/>
      <c r="I5" s="122"/>
      <c r="J5" s="2"/>
      <c r="K5" s="2"/>
      <c r="L5" s="2"/>
      <c r="M5" s="2"/>
    </row>
    <row r="6" spans="1:13" x14ac:dyDescent="0.2">
      <c r="A6" s="8" t="s">
        <v>89</v>
      </c>
      <c r="B6" s="11">
        <v>5.3904428600926488</v>
      </c>
      <c r="C6" s="11">
        <v>40.104946751315815</v>
      </c>
      <c r="D6" s="11">
        <v>178.46454280614211</v>
      </c>
      <c r="E6" s="11">
        <v>223.95993241755056</v>
      </c>
      <c r="F6" s="11"/>
      <c r="G6" s="11"/>
      <c r="H6" s="129"/>
      <c r="I6" s="122"/>
      <c r="J6" s="2"/>
      <c r="K6" s="2"/>
      <c r="L6" s="2"/>
      <c r="M6" s="2"/>
    </row>
    <row r="7" spans="1:13" x14ac:dyDescent="0.2">
      <c r="A7" s="8" t="s">
        <v>90</v>
      </c>
      <c r="B7" s="11">
        <v>5.5254094889977701</v>
      </c>
      <c r="C7" s="11">
        <v>41.063197442615746</v>
      </c>
      <c r="D7" s="11">
        <v>182.06287677100974</v>
      </c>
      <c r="E7" s="11">
        <v>228.65148370262324</v>
      </c>
      <c r="F7" s="11"/>
      <c r="G7" s="11"/>
      <c r="H7" s="129"/>
      <c r="I7" s="122"/>
      <c r="J7" s="2"/>
      <c r="K7" s="2"/>
      <c r="L7" s="2"/>
      <c r="M7" s="2"/>
    </row>
    <row r="8" spans="1:13" x14ac:dyDescent="0.2">
      <c r="A8" s="8" t="s">
        <v>183</v>
      </c>
      <c r="B8" s="11">
        <v>5.7128904444929987</v>
      </c>
      <c r="C8" s="11">
        <v>42.318948868491916</v>
      </c>
      <c r="D8" s="11">
        <v>186.61585613126238</v>
      </c>
      <c r="E8" s="11">
        <v>234.64769544424729</v>
      </c>
      <c r="F8" s="11"/>
      <c r="G8" s="11"/>
      <c r="H8" s="129"/>
      <c r="I8" s="122"/>
      <c r="J8" s="2"/>
      <c r="K8" s="2"/>
      <c r="L8" s="2"/>
      <c r="M8" s="2"/>
    </row>
    <row r="9" spans="1:13" x14ac:dyDescent="0.2">
      <c r="A9" s="8" t="s">
        <v>184</v>
      </c>
      <c r="B9" s="11">
        <v>5.8954813420284564</v>
      </c>
      <c r="C9" s="11">
        <v>43.882728756372977</v>
      </c>
      <c r="D9" s="11">
        <v>192.25176658336224</v>
      </c>
      <c r="E9" s="11">
        <v>242.02997668176369</v>
      </c>
      <c r="F9" s="11"/>
      <c r="G9" s="11"/>
      <c r="H9" s="129"/>
      <c r="I9" s="122"/>
      <c r="J9" s="2"/>
      <c r="K9" s="2"/>
      <c r="L9" s="2"/>
      <c r="M9" s="2"/>
    </row>
    <row r="10" spans="1:13" x14ac:dyDescent="0.2">
      <c r="A10" s="8" t="s">
        <v>209</v>
      </c>
      <c r="B10" s="11">
        <v>6.0636429348038137</v>
      </c>
      <c r="C10" s="11">
        <v>45.184220867218578</v>
      </c>
      <c r="D10" s="11">
        <v>197.73901900364535</v>
      </c>
      <c r="E10" s="11">
        <v>248.98688280566773</v>
      </c>
      <c r="F10" s="11"/>
      <c r="G10" s="11"/>
      <c r="H10" s="129"/>
      <c r="I10" s="122"/>
      <c r="J10" s="2"/>
      <c r="K10" s="2"/>
      <c r="L10" s="2"/>
      <c r="M10" s="2"/>
    </row>
    <row r="11" spans="1:13" x14ac:dyDescent="0.2">
      <c r="A11" s="6" t="s">
        <v>223</v>
      </c>
      <c r="B11" s="12">
        <v>6.1787354954565261</v>
      </c>
      <c r="C11" s="12">
        <v>45.836146275143001</v>
      </c>
      <c r="D11" s="12">
        <v>200.89319244368943</v>
      </c>
      <c r="E11" s="12">
        <v>252.90807421428894</v>
      </c>
      <c r="F11" s="11"/>
      <c r="G11" s="11"/>
      <c r="H11" s="129"/>
      <c r="I11" s="122"/>
      <c r="J11" s="2"/>
      <c r="K11" s="2"/>
      <c r="L11" s="2"/>
      <c r="M11" s="2"/>
    </row>
    <row r="12" spans="1:13" ht="15" x14ac:dyDescent="0.2">
      <c r="A12" s="139" t="s">
        <v>311</v>
      </c>
      <c r="B12" s="13"/>
      <c r="C12" s="13"/>
      <c r="D12" s="13"/>
      <c r="E12" s="13"/>
      <c r="F12" s="11"/>
      <c r="G12" s="11"/>
      <c r="H12" s="129"/>
      <c r="I12" s="122"/>
      <c r="J12" s="2"/>
      <c r="K12" s="2"/>
      <c r="L12" s="2"/>
      <c r="M12" s="2"/>
    </row>
    <row r="13" spans="1:13" ht="15" x14ac:dyDescent="0.2">
      <c r="A13" s="139" t="s">
        <v>402</v>
      </c>
      <c r="B13" s="13"/>
      <c r="C13" s="13"/>
      <c r="D13" s="13"/>
      <c r="E13" s="13"/>
      <c r="F13" s="11"/>
      <c r="G13" s="11"/>
      <c r="H13" s="129"/>
      <c r="I13" s="122"/>
      <c r="J13" s="2"/>
      <c r="K13" s="2"/>
      <c r="L13" s="2"/>
      <c r="M13" s="2"/>
    </row>
    <row r="14" spans="1:13" x14ac:dyDescent="0.2">
      <c r="A14" s="1" t="s">
        <v>91</v>
      </c>
      <c r="F14" s="11"/>
      <c r="G14" s="11"/>
      <c r="H14" s="129"/>
      <c r="I14" s="122"/>
      <c r="J14" s="2"/>
      <c r="K14" s="2"/>
      <c r="L14" s="2"/>
      <c r="M14" s="2"/>
    </row>
    <row r="15" spans="1:13" x14ac:dyDescent="0.2">
      <c r="F15" s="120"/>
      <c r="G15" s="120"/>
      <c r="H15" s="120"/>
    </row>
    <row r="16" spans="1:13" x14ac:dyDescent="0.2">
      <c r="F16" s="120"/>
      <c r="G16" s="120"/>
      <c r="H16" s="120"/>
    </row>
    <row r="17" spans="6:8" x14ac:dyDescent="0.2">
      <c r="F17" s="120"/>
      <c r="G17" s="120"/>
      <c r="H17" s="120"/>
    </row>
    <row r="18" spans="6:8" x14ac:dyDescent="0.2">
      <c r="F18" s="120"/>
      <c r="G18" s="120"/>
      <c r="H18" s="120"/>
    </row>
    <row r="19" spans="6:8" x14ac:dyDescent="0.2">
      <c r="F19" s="120"/>
      <c r="G19" s="120"/>
      <c r="H19" s="120"/>
    </row>
  </sheetData>
  <mergeCells count="1">
    <mergeCell ref="B4:E4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E133"/>
  <sheetViews>
    <sheetView topLeftCell="A126" workbookViewId="0">
      <selection activeCell="L16" sqref="L16"/>
    </sheetView>
  </sheetViews>
  <sheetFormatPr defaultColWidth="9.140625" defaultRowHeight="12.75" x14ac:dyDescent="0.2"/>
  <cols>
    <col min="1" max="1" width="8.7109375" style="8" customWidth="1"/>
    <col min="2" max="2" width="20.5703125" style="5" customWidth="1"/>
    <col min="3" max="3" width="9.7109375" style="5" customWidth="1"/>
    <col min="4" max="4" width="17.140625" style="5" customWidth="1"/>
    <col min="5" max="5" width="9.7109375" style="5" customWidth="1"/>
    <col min="6" max="6" width="11" style="5" customWidth="1"/>
    <col min="7" max="9" width="9.7109375" style="5" customWidth="1"/>
    <col min="10" max="10" width="12.7109375" style="5" customWidth="1"/>
    <col min="11" max="12" width="9.28515625" style="5" bestFit="1" customWidth="1"/>
    <col min="13" max="16384" width="9.140625" style="5"/>
  </cols>
  <sheetData>
    <row r="2" spans="1:19" x14ac:dyDescent="0.2">
      <c r="A2" s="6" t="s">
        <v>266</v>
      </c>
      <c r="B2" s="7"/>
      <c r="C2" s="7"/>
      <c r="D2" s="7"/>
      <c r="E2" s="7"/>
      <c r="F2" s="7"/>
      <c r="G2" s="7"/>
      <c r="H2" s="7"/>
      <c r="I2" s="7"/>
    </row>
    <row r="4" spans="1:19" ht="25.5" x14ac:dyDescent="0.2">
      <c r="A4" s="99"/>
      <c r="B4" s="9" t="s">
        <v>39</v>
      </c>
      <c r="C4" s="9" t="s">
        <v>40</v>
      </c>
      <c r="D4" s="9" t="s">
        <v>146</v>
      </c>
      <c r="E4" s="9" t="s">
        <v>95</v>
      </c>
      <c r="F4" s="9" t="s">
        <v>44</v>
      </c>
      <c r="G4" s="9" t="s">
        <v>147</v>
      </c>
      <c r="H4" s="9" t="s">
        <v>41</v>
      </c>
      <c r="I4" s="9" t="s">
        <v>148</v>
      </c>
      <c r="J4" s="9"/>
    </row>
    <row r="5" spans="1:19" x14ac:dyDescent="0.2">
      <c r="A5" s="202" t="s">
        <v>149</v>
      </c>
      <c r="B5" s="202"/>
      <c r="C5" s="202"/>
      <c r="D5" s="202"/>
      <c r="E5" s="202"/>
      <c r="F5" s="202"/>
      <c r="G5" s="202"/>
      <c r="H5" s="202"/>
      <c r="I5" s="202"/>
      <c r="J5" s="4"/>
    </row>
    <row r="6" spans="1:19" x14ac:dyDescent="0.2">
      <c r="A6" s="26" t="s">
        <v>150</v>
      </c>
      <c r="B6" s="14">
        <v>3990.9380000000001</v>
      </c>
      <c r="C6" s="14">
        <v>152.643</v>
      </c>
      <c r="D6" s="14">
        <v>532.71900000000005</v>
      </c>
      <c r="E6" s="14">
        <v>365.75900000000001</v>
      </c>
      <c r="F6" s="14">
        <v>31.981999999999999</v>
      </c>
      <c r="G6" s="14">
        <v>10.021000000000001</v>
      </c>
      <c r="H6" s="14">
        <v>22.777999999999999</v>
      </c>
      <c r="I6" s="14">
        <v>5106.84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26" t="s">
        <v>151</v>
      </c>
      <c r="B7" s="54"/>
      <c r="C7" s="54"/>
      <c r="D7" s="54"/>
      <c r="E7" s="54"/>
      <c r="F7" s="54"/>
      <c r="G7" s="54"/>
      <c r="H7" s="54"/>
      <c r="I7" s="14"/>
      <c r="J7" s="2"/>
    </row>
    <row r="8" spans="1:19" x14ac:dyDescent="0.2">
      <c r="A8" s="26" t="s">
        <v>97</v>
      </c>
      <c r="B8" s="54"/>
      <c r="C8" s="54"/>
      <c r="D8" s="54"/>
      <c r="E8" s="54"/>
      <c r="F8" s="54"/>
      <c r="G8" s="54"/>
      <c r="H8" s="54"/>
      <c r="I8" s="14"/>
      <c r="J8" s="2"/>
    </row>
    <row r="9" spans="1:19" x14ac:dyDescent="0.2">
      <c r="A9" s="26" t="s">
        <v>98</v>
      </c>
      <c r="B9" s="54"/>
      <c r="C9" s="54"/>
      <c r="D9" s="54"/>
      <c r="E9" s="54"/>
      <c r="F9" s="54"/>
      <c r="G9" s="54"/>
      <c r="H9" s="54"/>
      <c r="I9" s="14"/>
      <c r="J9" s="2"/>
    </row>
    <row r="10" spans="1:19" x14ac:dyDescent="0.2">
      <c r="A10" s="26" t="s">
        <v>99</v>
      </c>
      <c r="B10" s="54"/>
      <c r="C10" s="54"/>
      <c r="D10" s="54"/>
      <c r="E10" s="54"/>
      <c r="F10" s="54"/>
      <c r="G10" s="54"/>
      <c r="H10" s="54"/>
      <c r="I10" s="14"/>
      <c r="J10" s="2"/>
    </row>
    <row r="11" spans="1:19" x14ac:dyDescent="0.2">
      <c r="A11" s="26" t="s">
        <v>100</v>
      </c>
      <c r="B11" s="14">
        <v>5102.2489999999998</v>
      </c>
      <c r="C11" s="14">
        <v>293.35399999999998</v>
      </c>
      <c r="D11" s="14">
        <v>758.18200000000002</v>
      </c>
      <c r="E11" s="14">
        <v>372.20299999999997</v>
      </c>
      <c r="F11" s="14">
        <v>38.950000000000003</v>
      </c>
      <c r="G11" s="14">
        <v>25.132999999999999</v>
      </c>
      <c r="H11" s="14">
        <v>31.385999999999999</v>
      </c>
      <c r="I11" s="14">
        <v>6621.4569999999994</v>
      </c>
      <c r="J11" s="2"/>
      <c r="K11" s="2"/>
      <c r="L11" s="2"/>
      <c r="M11" s="2"/>
      <c r="N11" s="2"/>
      <c r="O11" s="2"/>
      <c r="P11" s="2"/>
      <c r="Q11" s="2"/>
      <c r="R11" s="2"/>
    </row>
    <row r="12" spans="1:19" x14ac:dyDescent="0.2">
      <c r="A12" s="26" t="s">
        <v>101</v>
      </c>
      <c r="B12" s="54"/>
      <c r="C12" s="54"/>
      <c r="D12" s="54"/>
      <c r="E12" s="54"/>
      <c r="F12" s="54"/>
      <c r="G12" s="54"/>
      <c r="H12" s="54"/>
      <c r="I12" s="14"/>
      <c r="J12" s="2"/>
    </row>
    <row r="13" spans="1:19" x14ac:dyDescent="0.2">
      <c r="A13" s="26" t="s">
        <v>102</v>
      </c>
      <c r="B13" s="54"/>
      <c r="C13" s="54"/>
      <c r="D13" s="54"/>
      <c r="E13" s="54"/>
      <c r="F13" s="54"/>
      <c r="G13" s="54"/>
      <c r="H13" s="54"/>
      <c r="I13" s="14"/>
      <c r="J13" s="2"/>
    </row>
    <row r="14" spans="1:19" x14ac:dyDescent="0.2">
      <c r="A14" s="26" t="s">
        <v>103</v>
      </c>
      <c r="B14" s="14">
        <v>5669.5780000000004</v>
      </c>
      <c r="C14" s="14">
        <v>288.31599999999997</v>
      </c>
      <c r="D14" s="14">
        <v>879.16499999999996</v>
      </c>
      <c r="E14" s="14">
        <v>419.86900000000003</v>
      </c>
      <c r="F14" s="14">
        <v>43.683</v>
      </c>
      <c r="G14" s="14">
        <v>36.326999999999998</v>
      </c>
      <c r="H14" s="14">
        <v>37.756</v>
      </c>
      <c r="I14" s="14">
        <v>7374.6940000000004</v>
      </c>
      <c r="J14" s="2"/>
      <c r="K14" s="2"/>
      <c r="L14" s="2"/>
      <c r="M14" s="2"/>
      <c r="N14" s="2"/>
      <c r="O14" s="2"/>
      <c r="P14" s="2"/>
      <c r="Q14" s="2"/>
      <c r="R14" s="2"/>
    </row>
    <row r="15" spans="1:19" x14ac:dyDescent="0.2">
      <c r="A15" s="26" t="s">
        <v>104</v>
      </c>
      <c r="B15" s="54"/>
      <c r="C15" s="54"/>
      <c r="D15" s="54"/>
      <c r="E15" s="54"/>
      <c r="F15" s="54"/>
      <c r="G15" s="54"/>
      <c r="H15" s="54"/>
      <c r="I15" s="14"/>
      <c r="J15" s="2"/>
    </row>
    <row r="16" spans="1:19" x14ac:dyDescent="0.2">
      <c r="A16" s="26" t="s">
        <v>105</v>
      </c>
      <c r="B16" s="54"/>
      <c r="C16" s="54"/>
      <c r="D16" s="54"/>
      <c r="E16" s="54"/>
      <c r="F16" s="54"/>
      <c r="G16" s="54"/>
      <c r="H16" s="54"/>
      <c r="I16" s="14"/>
      <c r="J16" s="2"/>
    </row>
    <row r="17" spans="1:18" x14ac:dyDescent="0.2">
      <c r="A17" s="26" t="s">
        <v>106</v>
      </c>
      <c r="B17" s="14">
        <v>6233.4129999999996</v>
      </c>
      <c r="C17" s="14">
        <v>366.87799999999999</v>
      </c>
      <c r="D17" s="14">
        <v>1002.9880000000001</v>
      </c>
      <c r="E17" s="14">
        <v>478.988</v>
      </c>
      <c r="F17" s="14">
        <v>47.179000000000002</v>
      </c>
      <c r="G17" s="14">
        <v>42.018999999999998</v>
      </c>
      <c r="H17" s="14">
        <v>46.19</v>
      </c>
      <c r="I17" s="14">
        <v>8217.6550000000007</v>
      </c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6" t="s">
        <v>107</v>
      </c>
      <c r="B18" s="54"/>
      <c r="C18" s="54"/>
      <c r="D18" s="54"/>
      <c r="E18" s="54"/>
      <c r="F18" s="54"/>
      <c r="G18" s="54"/>
      <c r="H18" s="54"/>
      <c r="I18" s="14"/>
      <c r="J18" s="2"/>
    </row>
    <row r="19" spans="1:18" x14ac:dyDescent="0.2">
      <c r="A19" s="26" t="s">
        <v>108</v>
      </c>
      <c r="B19" s="54"/>
      <c r="C19" s="54"/>
      <c r="D19" s="54"/>
      <c r="E19" s="54"/>
      <c r="F19" s="54"/>
      <c r="G19" s="54"/>
      <c r="H19" s="54"/>
      <c r="I19" s="14"/>
      <c r="J19" s="2"/>
    </row>
    <row r="20" spans="1:18" x14ac:dyDescent="0.2">
      <c r="A20" s="26" t="s">
        <v>109</v>
      </c>
      <c r="B20" s="14">
        <v>6734.2020000000002</v>
      </c>
      <c r="C20" s="14">
        <v>361.625</v>
      </c>
      <c r="D20" s="14">
        <v>1140.479</v>
      </c>
      <c r="E20" s="14">
        <v>543.72199999999998</v>
      </c>
      <c r="F20" s="14">
        <v>50.22</v>
      </c>
      <c r="G20" s="14">
        <v>49.392000000000003</v>
      </c>
      <c r="H20" s="14">
        <v>80.088999999999999</v>
      </c>
      <c r="I20" s="14">
        <v>8959.7289999999994</v>
      </c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6" t="s">
        <v>110</v>
      </c>
      <c r="B21" s="54"/>
      <c r="C21" s="54"/>
      <c r="D21" s="54"/>
      <c r="E21" s="54"/>
      <c r="F21" s="54"/>
      <c r="G21" s="54"/>
      <c r="H21" s="54"/>
      <c r="I21" s="14"/>
      <c r="J21" s="2"/>
    </row>
    <row r="22" spans="1:18" x14ac:dyDescent="0.2">
      <c r="A22" s="26" t="s">
        <v>111</v>
      </c>
      <c r="B22" s="54"/>
      <c r="C22" s="54"/>
      <c r="D22" s="54"/>
      <c r="E22" s="54"/>
      <c r="F22" s="54"/>
      <c r="G22" s="54"/>
      <c r="H22" s="54"/>
      <c r="I22" s="14"/>
      <c r="J22" s="2"/>
    </row>
    <row r="23" spans="1:18" x14ac:dyDescent="0.2">
      <c r="A23" s="26" t="s">
        <v>112</v>
      </c>
      <c r="B23" s="14">
        <v>7158.8069999999998</v>
      </c>
      <c r="C23" s="14">
        <v>303.988</v>
      </c>
      <c r="D23" s="14">
        <v>1183.489</v>
      </c>
      <c r="E23" s="14">
        <v>576.33900000000006</v>
      </c>
      <c r="F23" s="14">
        <v>48.856999999999999</v>
      </c>
      <c r="G23" s="14">
        <v>53.366</v>
      </c>
      <c r="H23" s="14">
        <v>93.161000000000001</v>
      </c>
      <c r="I23" s="14">
        <v>9418.0069999999996</v>
      </c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6" t="s">
        <v>113</v>
      </c>
      <c r="B24" s="54"/>
      <c r="C24" s="54"/>
      <c r="D24" s="54"/>
      <c r="E24" s="54"/>
      <c r="F24" s="54"/>
      <c r="G24" s="54"/>
      <c r="H24" s="54"/>
      <c r="I24" s="14"/>
      <c r="J24" s="2"/>
    </row>
    <row r="25" spans="1:18" x14ac:dyDescent="0.2">
      <c r="A25" s="26" t="s">
        <v>114</v>
      </c>
      <c r="B25" s="54"/>
      <c r="C25" s="54"/>
      <c r="D25" s="54"/>
      <c r="E25" s="54"/>
      <c r="F25" s="54"/>
      <c r="G25" s="54"/>
      <c r="H25" s="54"/>
      <c r="I25" s="14"/>
      <c r="J25" s="2"/>
    </row>
    <row r="26" spans="1:18" x14ac:dyDescent="0.2">
      <c r="A26" s="26" t="s">
        <v>115</v>
      </c>
      <c r="B26" s="14">
        <v>7860.6610000000001</v>
      </c>
      <c r="C26" s="14">
        <v>284.14600000000002</v>
      </c>
      <c r="D26" s="14">
        <v>1479.232</v>
      </c>
      <c r="E26" s="14">
        <v>333.24700000000001</v>
      </c>
      <c r="F26" s="14">
        <v>51.697000000000003</v>
      </c>
      <c r="G26" s="14">
        <v>46.972999999999999</v>
      </c>
      <c r="H26" s="14">
        <v>42.277000000000001</v>
      </c>
      <c r="I26" s="14">
        <v>10098.233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6" t="s">
        <v>116</v>
      </c>
      <c r="B27" s="54"/>
      <c r="C27" s="54"/>
      <c r="D27" s="54"/>
      <c r="E27" s="54"/>
      <c r="F27" s="54"/>
      <c r="G27" s="54"/>
      <c r="H27" s="54"/>
      <c r="I27" s="14"/>
      <c r="J27" s="2"/>
    </row>
    <row r="28" spans="1:18" x14ac:dyDescent="0.2">
      <c r="A28" s="26" t="s">
        <v>117</v>
      </c>
      <c r="B28" s="14">
        <v>8279.4079999999994</v>
      </c>
      <c r="C28" s="14">
        <v>288.81299999999999</v>
      </c>
      <c r="D28" s="14">
        <v>1453.7619999999999</v>
      </c>
      <c r="E28" s="14">
        <v>336.49</v>
      </c>
      <c r="F28" s="14">
        <v>52.497999999999998</v>
      </c>
      <c r="G28" s="14">
        <v>46.567999999999998</v>
      </c>
      <c r="H28" s="14">
        <v>46.610999999999997</v>
      </c>
      <c r="I28" s="14">
        <v>10504.15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6" t="s">
        <v>118</v>
      </c>
      <c r="B29" s="54"/>
      <c r="C29" s="54"/>
      <c r="D29" s="54"/>
      <c r="E29" s="54"/>
      <c r="F29" s="54"/>
      <c r="G29" s="54"/>
      <c r="H29" s="54"/>
      <c r="I29" s="14"/>
      <c r="J29" s="2"/>
    </row>
    <row r="30" spans="1:18" x14ac:dyDescent="0.2">
      <c r="A30" s="26" t="s">
        <v>119</v>
      </c>
      <c r="B30" s="14">
        <v>8628.8060000000005</v>
      </c>
      <c r="C30" s="14">
        <v>296.62799999999999</v>
      </c>
      <c r="D30" s="14">
        <v>1527.212</v>
      </c>
      <c r="E30" s="14">
        <v>337.42099999999999</v>
      </c>
      <c r="F30" s="14">
        <v>58.322000000000003</v>
      </c>
      <c r="G30" s="14">
        <v>46.970999999999997</v>
      </c>
      <c r="H30" s="14">
        <v>52.17</v>
      </c>
      <c r="I30" s="14">
        <v>10947.53</v>
      </c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6" t="s">
        <v>120</v>
      </c>
      <c r="B31" s="14">
        <v>8989.1360000000004</v>
      </c>
      <c r="C31" s="14">
        <v>303.851</v>
      </c>
      <c r="D31" s="14">
        <v>1601.6410000000001</v>
      </c>
      <c r="E31" s="14">
        <v>341.03699999999998</v>
      </c>
      <c r="F31" s="14">
        <v>58.351999999999997</v>
      </c>
      <c r="G31" s="14">
        <v>48.32</v>
      </c>
      <c r="H31" s="14">
        <v>58.771999999999998</v>
      </c>
      <c r="I31" s="14">
        <v>11401.109000000002</v>
      </c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6" t="s">
        <v>121</v>
      </c>
      <c r="B32" s="14">
        <v>9206.2360000000008</v>
      </c>
      <c r="C32" s="14">
        <v>313.101</v>
      </c>
      <c r="D32" s="14">
        <v>1632.2170000000001</v>
      </c>
      <c r="E32" s="14">
        <v>342.41199999999998</v>
      </c>
      <c r="F32" s="14">
        <v>59.292000000000002</v>
      </c>
      <c r="G32" s="14">
        <v>49.99</v>
      </c>
      <c r="H32" s="14">
        <v>61.143000000000001</v>
      </c>
      <c r="I32" s="14">
        <v>11664.391000000001</v>
      </c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6" t="s">
        <v>122</v>
      </c>
      <c r="B33" s="14">
        <v>9526.7330000000002</v>
      </c>
      <c r="C33" s="14">
        <v>328.84500000000003</v>
      </c>
      <c r="D33" s="14">
        <v>1686.433</v>
      </c>
      <c r="E33" s="14">
        <v>347.21300000000002</v>
      </c>
      <c r="F33" s="14">
        <v>62.274000000000001</v>
      </c>
      <c r="G33" s="14">
        <v>51.277000000000001</v>
      </c>
      <c r="H33" s="14">
        <v>64.081999999999994</v>
      </c>
      <c r="I33" s="14">
        <v>12066.856999999998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6" t="s">
        <v>123</v>
      </c>
      <c r="B34" s="14">
        <v>9686.223</v>
      </c>
      <c r="C34" s="14">
        <v>333.78199999999998</v>
      </c>
      <c r="D34" s="14">
        <v>1721.2</v>
      </c>
      <c r="E34" s="14">
        <v>346.82299999999998</v>
      </c>
      <c r="F34" s="14">
        <v>63.295000000000002</v>
      </c>
      <c r="G34" s="14">
        <v>51.319000000000003</v>
      </c>
      <c r="H34" s="14">
        <v>65.891000000000005</v>
      </c>
      <c r="I34" s="14">
        <v>12268.532999999999</v>
      </c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6" t="s">
        <v>124</v>
      </c>
      <c r="B35" s="54"/>
      <c r="C35" s="54"/>
      <c r="D35" s="54"/>
      <c r="E35" s="14"/>
      <c r="F35" s="14"/>
      <c r="G35" s="14"/>
      <c r="H35" s="14"/>
      <c r="I35" s="14"/>
      <c r="J35" s="2"/>
    </row>
    <row r="36" spans="1:18" x14ac:dyDescent="0.2">
      <c r="A36" s="26" t="s">
        <v>125</v>
      </c>
      <c r="B36" s="14">
        <v>9835.884</v>
      </c>
      <c r="C36" s="14">
        <v>350.93</v>
      </c>
      <c r="D36" s="14">
        <v>1769.5830000000001</v>
      </c>
      <c r="E36" s="14">
        <v>338.411</v>
      </c>
      <c r="F36" s="14">
        <v>62.597000000000001</v>
      </c>
      <c r="G36" s="14">
        <v>51.79</v>
      </c>
      <c r="H36" s="14">
        <v>67.572000000000003</v>
      </c>
      <c r="I36" s="14">
        <v>12476.767000000002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6" t="s">
        <v>126</v>
      </c>
      <c r="B37" s="14">
        <v>10101.441000000001</v>
      </c>
      <c r="C37" s="14">
        <v>370.98200000000003</v>
      </c>
      <c r="D37" s="14">
        <v>1819.9929999999999</v>
      </c>
      <c r="E37" s="14">
        <v>341.483</v>
      </c>
      <c r="F37" s="14">
        <v>63.905000000000001</v>
      </c>
      <c r="G37" s="14">
        <v>53.960999999999999</v>
      </c>
      <c r="H37" s="14">
        <v>70.195999999999998</v>
      </c>
      <c r="I37" s="14">
        <v>12821.961000000001</v>
      </c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6" t="s">
        <v>127</v>
      </c>
      <c r="B38" s="14">
        <v>10365.941000000001</v>
      </c>
      <c r="C38" s="14">
        <v>377.27100000000002</v>
      </c>
      <c r="D38" s="14">
        <v>1879.7550000000001</v>
      </c>
      <c r="E38" s="14">
        <v>348.673</v>
      </c>
      <c r="F38" s="14">
        <v>64.260999999999996</v>
      </c>
      <c r="G38" s="14">
        <v>56.936</v>
      </c>
      <c r="H38" s="14">
        <v>70.122</v>
      </c>
      <c r="I38" s="14">
        <v>13162.959000000001</v>
      </c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6" t="s">
        <v>128</v>
      </c>
      <c r="B39" s="14">
        <v>10629.401</v>
      </c>
      <c r="C39" s="14">
        <v>396.30900000000003</v>
      </c>
      <c r="D39" s="14">
        <v>1952.4860000000001</v>
      </c>
      <c r="E39" s="14">
        <v>357.61700000000002</v>
      </c>
      <c r="F39" s="14">
        <v>66.3</v>
      </c>
      <c r="G39" s="14">
        <v>59.643999999999998</v>
      </c>
      <c r="H39" s="14">
        <v>71.313999999999993</v>
      </c>
      <c r="I39" s="14">
        <v>13533.071</v>
      </c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26" t="s">
        <v>129</v>
      </c>
      <c r="B40" s="14">
        <v>10896.41</v>
      </c>
      <c r="C40" s="14">
        <v>421.923</v>
      </c>
      <c r="D40" s="14">
        <v>2030.2539999999999</v>
      </c>
      <c r="E40" s="14">
        <v>368.52</v>
      </c>
      <c r="F40" s="14">
        <v>69.722999999999999</v>
      </c>
      <c r="G40" s="14">
        <v>60.655000000000001</v>
      </c>
      <c r="H40" s="14">
        <v>72.62</v>
      </c>
      <c r="I40" s="14">
        <v>13920.105000000001</v>
      </c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">
      <c r="A41" s="26" t="s">
        <v>130</v>
      </c>
      <c r="B41" s="14">
        <v>11188.88</v>
      </c>
      <c r="C41" s="14">
        <v>463.05700000000002</v>
      </c>
      <c r="D41" s="14">
        <v>2114.3330000000001</v>
      </c>
      <c r="E41" s="14">
        <v>383.54599999999999</v>
      </c>
      <c r="F41" s="14">
        <v>71.680000000000007</v>
      </c>
      <c r="G41" s="14">
        <v>61.813000000000002</v>
      </c>
      <c r="H41" s="14">
        <v>75.375</v>
      </c>
      <c r="I41" s="14">
        <v>14358.684000000001</v>
      </c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26" t="s">
        <v>131</v>
      </c>
      <c r="B42" s="14">
        <v>11466.56</v>
      </c>
      <c r="C42" s="14">
        <v>512.428</v>
      </c>
      <c r="D42" s="14">
        <v>2190.1309999999999</v>
      </c>
      <c r="E42" s="14">
        <v>394.54199999999997</v>
      </c>
      <c r="F42" s="14">
        <v>74.451999999999998</v>
      </c>
      <c r="G42" s="14">
        <v>64.534999999999997</v>
      </c>
      <c r="H42" s="14">
        <v>77.561999999999998</v>
      </c>
      <c r="I42" s="14">
        <v>14780.209999999997</v>
      </c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26" t="s">
        <v>132</v>
      </c>
      <c r="B43" s="14">
        <v>11803.536</v>
      </c>
      <c r="C43" s="14">
        <v>567.56899999999996</v>
      </c>
      <c r="D43" s="14">
        <v>2288.2159999999999</v>
      </c>
      <c r="E43" s="14">
        <v>410.91</v>
      </c>
      <c r="F43" s="14">
        <v>79.132000000000005</v>
      </c>
      <c r="G43" s="14">
        <v>66.597999999999999</v>
      </c>
      <c r="H43" s="14">
        <v>80.581000000000003</v>
      </c>
      <c r="I43" s="14">
        <v>15296.541999999999</v>
      </c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26" t="s">
        <v>133</v>
      </c>
      <c r="B44" s="14">
        <v>12023.098</v>
      </c>
      <c r="C44" s="14">
        <v>624.09</v>
      </c>
      <c r="D44" s="14">
        <v>2371.0819999999999</v>
      </c>
      <c r="E44" s="14">
        <v>421.702</v>
      </c>
      <c r="F44" s="14">
        <v>81.216999999999999</v>
      </c>
      <c r="G44" s="14">
        <v>68.834000000000003</v>
      </c>
      <c r="H44" s="14">
        <v>84.412999999999997</v>
      </c>
      <c r="I44" s="14">
        <v>15674.436000000002</v>
      </c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26" t="s">
        <v>134</v>
      </c>
      <c r="B45" s="14">
        <v>12269.305</v>
      </c>
      <c r="C45" s="14">
        <v>660.10699999999997</v>
      </c>
      <c r="D45" s="14">
        <v>2460.5680000000002</v>
      </c>
      <c r="E45" s="14">
        <v>431.28</v>
      </c>
      <c r="F45" s="14">
        <v>82.436000000000007</v>
      </c>
      <c r="G45" s="14">
        <v>71.037000000000006</v>
      </c>
      <c r="H45" s="14">
        <v>86.367000000000004</v>
      </c>
      <c r="I45" s="14">
        <v>16061.1</v>
      </c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26" t="s">
        <v>135</v>
      </c>
      <c r="B46" s="14">
        <v>12474.044</v>
      </c>
      <c r="C46" s="14">
        <v>678.79</v>
      </c>
      <c r="D46" s="14">
        <v>2530.63</v>
      </c>
      <c r="E46" s="14">
        <v>437.762</v>
      </c>
      <c r="F46" s="14">
        <v>85.965000000000003</v>
      </c>
      <c r="G46" s="14">
        <v>73.308999999999997</v>
      </c>
      <c r="H46" s="14">
        <v>87.882999999999996</v>
      </c>
      <c r="I46" s="14">
        <v>16368.383</v>
      </c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26" t="s">
        <v>136</v>
      </c>
      <c r="B47" s="14">
        <v>12714.235000000001</v>
      </c>
      <c r="C47" s="14">
        <v>709.28800000000001</v>
      </c>
      <c r="D47" s="14">
        <v>2617.799</v>
      </c>
      <c r="E47" s="14">
        <v>446.40600000000001</v>
      </c>
      <c r="F47" s="14">
        <v>87.995000000000005</v>
      </c>
      <c r="G47" s="14">
        <v>75.322000000000003</v>
      </c>
      <c r="H47" s="14">
        <v>90.599000000000004</v>
      </c>
      <c r="I47" s="14">
        <v>16741.643999999997</v>
      </c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26" t="s">
        <v>137</v>
      </c>
      <c r="B48" s="14">
        <v>13000.021000000001</v>
      </c>
      <c r="C48" s="14">
        <v>744.73199999999997</v>
      </c>
      <c r="D48" s="14">
        <v>2717.6729999999998</v>
      </c>
      <c r="E48" s="14">
        <v>457.14499999999998</v>
      </c>
      <c r="F48" s="14">
        <v>90.903999999999996</v>
      </c>
      <c r="G48" s="14">
        <v>77.087000000000003</v>
      </c>
      <c r="H48" s="14">
        <v>93.034000000000006</v>
      </c>
      <c r="I48" s="14">
        <v>17180.595999999998</v>
      </c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26" t="s">
        <v>138</v>
      </c>
      <c r="B49" s="14">
        <v>13297.26</v>
      </c>
      <c r="C49" s="14">
        <v>780.17399999999998</v>
      </c>
      <c r="D49" s="14">
        <v>2824.0520000000001</v>
      </c>
      <c r="E49" s="14">
        <v>465.12199999999996</v>
      </c>
      <c r="F49" s="14">
        <v>93.852999999999994</v>
      </c>
      <c r="G49" s="14">
        <v>78.900999999999996</v>
      </c>
      <c r="H49" s="14">
        <v>94.131</v>
      </c>
      <c r="I49" s="14">
        <v>17633.493000000002</v>
      </c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26" t="s">
        <v>139</v>
      </c>
      <c r="B50" s="14">
        <v>13549.449000000001</v>
      </c>
      <c r="C50" s="14">
        <v>807.21500000000003</v>
      </c>
      <c r="D50" s="14">
        <v>2907.0059999999999</v>
      </c>
      <c r="E50" s="14">
        <v>472.32400000000001</v>
      </c>
      <c r="F50" s="14">
        <v>94.974999999999994</v>
      </c>
      <c r="G50" s="14">
        <v>81.649000000000001</v>
      </c>
      <c r="H50" s="14">
        <v>95.149000000000001</v>
      </c>
      <c r="I50" s="14">
        <v>18007.767</v>
      </c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26" t="s">
        <v>140</v>
      </c>
      <c r="B51" s="14">
        <v>13815.107</v>
      </c>
      <c r="C51" s="14">
        <v>828.96500000000003</v>
      </c>
      <c r="D51" s="14">
        <v>2985.5920000000001</v>
      </c>
      <c r="E51" s="14">
        <v>480.238</v>
      </c>
      <c r="F51" s="14">
        <v>96.185000000000002</v>
      </c>
      <c r="G51" s="14">
        <v>84.466999999999999</v>
      </c>
      <c r="H51" s="14">
        <v>96.581999999999994</v>
      </c>
      <c r="I51" s="14">
        <v>18387.135999999999</v>
      </c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">
      <c r="A52" s="26" t="s">
        <v>141</v>
      </c>
      <c r="B52" s="49">
        <v>14078.606</v>
      </c>
      <c r="C52" s="49">
        <v>849.29600000000005</v>
      </c>
      <c r="D52" s="49">
        <v>3079.59</v>
      </c>
      <c r="E52" s="49">
        <v>491.54899999999998</v>
      </c>
      <c r="F52" s="49">
        <v>98.108000000000004</v>
      </c>
      <c r="G52" s="49">
        <v>87.125</v>
      </c>
      <c r="H52" s="49">
        <v>96.93</v>
      </c>
      <c r="I52" s="49">
        <v>18781.204000000002</v>
      </c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">
      <c r="A53" s="26" t="s">
        <v>142</v>
      </c>
      <c r="B53" s="49">
        <v>14330.432000000001</v>
      </c>
      <c r="C53" s="49">
        <v>860.7</v>
      </c>
      <c r="D53" s="49">
        <v>3187.1309999999999</v>
      </c>
      <c r="E53" s="49">
        <v>504.99799999999999</v>
      </c>
      <c r="F53" s="49">
        <v>100.694</v>
      </c>
      <c r="G53" s="49">
        <v>90.759</v>
      </c>
      <c r="H53" s="49">
        <v>98.564999999999998</v>
      </c>
      <c r="I53" s="49">
        <v>19173.278999999999</v>
      </c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">
      <c r="A54" s="26" t="s">
        <v>143</v>
      </c>
      <c r="B54" s="50">
        <v>14504.147999999999</v>
      </c>
      <c r="C54" s="50">
        <v>870.10500000000002</v>
      </c>
      <c r="D54" s="50">
        <v>3313.4180000000001</v>
      </c>
      <c r="E54" s="50">
        <v>520.73099999999999</v>
      </c>
      <c r="F54" s="50">
        <v>103.038</v>
      </c>
      <c r="G54" s="50">
        <v>94.421999999999997</v>
      </c>
      <c r="H54" s="50">
        <v>99.379000000000005</v>
      </c>
      <c r="I54" s="50">
        <v>19505.241000000002</v>
      </c>
      <c r="J54" s="2"/>
      <c r="K54" s="2"/>
      <c r="L54" s="2"/>
      <c r="M54" s="2"/>
      <c r="N54" s="2"/>
      <c r="O54" s="2"/>
      <c r="P54" s="2"/>
      <c r="Q54" s="2"/>
      <c r="R54" s="2"/>
    </row>
    <row r="55" spans="1:18" ht="13.5" thickBot="1" x14ac:dyDescent="0.25">
      <c r="A55" s="51" t="s">
        <v>144</v>
      </c>
      <c r="B55" s="53">
        <v>14679.249</v>
      </c>
      <c r="C55" s="53">
        <v>880.88099999999997</v>
      </c>
      <c r="D55" s="53">
        <v>3407.0160000000001</v>
      </c>
      <c r="E55" s="53">
        <v>535.51400000000001</v>
      </c>
      <c r="F55" s="53">
        <v>105.137</v>
      </c>
      <c r="G55" s="53">
        <v>97.061000000000007</v>
      </c>
      <c r="H55" s="53">
        <v>100.473</v>
      </c>
      <c r="I55" s="53">
        <v>19805.330999999998</v>
      </c>
      <c r="J55" s="2"/>
      <c r="K55" s="2"/>
      <c r="L55" s="2"/>
      <c r="M55" s="2"/>
      <c r="N55" s="2"/>
      <c r="O55" s="2"/>
      <c r="P55" s="2"/>
      <c r="Q55" s="2"/>
      <c r="R55" s="2"/>
    </row>
    <row r="56" spans="1:18" ht="15" customHeight="1" thickTop="1" x14ac:dyDescent="0.2">
      <c r="A56" s="26" t="s">
        <v>145</v>
      </c>
      <c r="B56" s="14">
        <v>14840.964</v>
      </c>
      <c r="C56" s="14">
        <v>916.65800000000002</v>
      </c>
      <c r="D56" s="14">
        <v>3632.4340000000002</v>
      </c>
      <c r="E56" s="14">
        <v>542.22699999999998</v>
      </c>
      <c r="F56" s="14">
        <v>110.676</v>
      </c>
      <c r="G56" s="14">
        <v>121.145</v>
      </c>
      <c r="H56" s="14">
        <v>93.635000000000005</v>
      </c>
      <c r="I56" s="14">
        <v>20257.738999999998</v>
      </c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">
      <c r="A57" s="26" t="s">
        <v>185</v>
      </c>
      <c r="B57" s="49">
        <v>15050.528</v>
      </c>
      <c r="C57" s="49">
        <v>940.45600000000002</v>
      </c>
      <c r="D57" s="49">
        <v>3784.9520000000002</v>
      </c>
      <c r="E57" s="49">
        <v>562.51099999999997</v>
      </c>
      <c r="F57" s="49">
        <v>115.65</v>
      </c>
      <c r="G57" s="49">
        <v>127.032</v>
      </c>
      <c r="H57" s="49">
        <v>95.466999999999999</v>
      </c>
      <c r="I57" s="49">
        <v>20676.596000000001</v>
      </c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">
      <c r="A58" s="26" t="s">
        <v>199</v>
      </c>
      <c r="B58" s="49">
        <v>15324.315000000001</v>
      </c>
      <c r="C58" s="49">
        <v>961.50099999999998</v>
      </c>
      <c r="D58" s="49">
        <v>3926.8980000000001</v>
      </c>
      <c r="E58" s="49">
        <v>589.83000000000004</v>
      </c>
      <c r="F58" s="49">
        <v>120.29900000000001</v>
      </c>
      <c r="G58" s="49">
        <v>138.37299999999999</v>
      </c>
      <c r="H58" s="49">
        <v>99.968000000000004</v>
      </c>
      <c r="I58" s="49">
        <v>21161.184000000001</v>
      </c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">
      <c r="A59" s="26" t="s">
        <v>208</v>
      </c>
      <c r="B59" s="49">
        <v>15698.911</v>
      </c>
      <c r="C59" s="49">
        <v>973.71400000000006</v>
      </c>
      <c r="D59" s="49">
        <v>4070.893</v>
      </c>
      <c r="E59" s="49">
        <v>628.45799999999997</v>
      </c>
      <c r="F59" s="49">
        <v>124.268</v>
      </c>
      <c r="G59" s="49">
        <v>142.131</v>
      </c>
      <c r="H59" s="49">
        <v>101.67</v>
      </c>
      <c r="I59" s="49">
        <v>21740.044999999998</v>
      </c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">
      <c r="A60" s="30" t="s">
        <v>247</v>
      </c>
      <c r="B60" s="52">
        <v>16080.036</v>
      </c>
      <c r="C60" s="52">
        <v>982.06700000000001</v>
      </c>
      <c r="D60" s="52">
        <v>4195.8329999999996</v>
      </c>
      <c r="E60" s="52">
        <v>667.23800000000006</v>
      </c>
      <c r="F60" s="52">
        <v>128.38300000000001</v>
      </c>
      <c r="G60" s="52">
        <v>147.15799999999999</v>
      </c>
      <c r="H60" s="52">
        <v>104.63200000000001</v>
      </c>
      <c r="I60" s="52">
        <v>22305.347000000002</v>
      </c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">
      <c r="A61" s="8" t="s">
        <v>381</v>
      </c>
      <c r="B61" s="11"/>
      <c r="C61" s="11"/>
      <c r="D61" s="11"/>
      <c r="E61" s="11"/>
      <c r="F61" s="11"/>
      <c r="G61" s="11"/>
      <c r="H61" s="11"/>
      <c r="I61" s="11"/>
    </row>
    <row r="62" spans="1:18" x14ac:dyDescent="0.2">
      <c r="A62" s="8" t="s">
        <v>290</v>
      </c>
      <c r="B62" s="11"/>
      <c r="C62" s="11"/>
      <c r="D62" s="11"/>
      <c r="E62" s="11"/>
      <c r="F62" s="11"/>
      <c r="G62" s="11"/>
      <c r="H62" s="11"/>
      <c r="I62" s="11"/>
    </row>
    <row r="63" spans="1:18" x14ac:dyDescent="0.2">
      <c r="A63" s="8" t="s">
        <v>380</v>
      </c>
    </row>
    <row r="64" spans="1:18" x14ac:dyDescent="0.2">
      <c r="A64" s="8" t="s">
        <v>382</v>
      </c>
    </row>
    <row r="65" spans="1:21" x14ac:dyDescent="0.2">
      <c r="A65" s="8" t="s">
        <v>383</v>
      </c>
    </row>
    <row r="68" spans="1:21" x14ac:dyDescent="0.2">
      <c r="A68" s="6" t="s">
        <v>287</v>
      </c>
      <c r="B68" s="7"/>
      <c r="C68" s="7"/>
      <c r="D68" s="7"/>
      <c r="E68" s="7"/>
      <c r="F68" s="7"/>
      <c r="G68" s="7"/>
      <c r="H68" s="7"/>
      <c r="I68" s="7"/>
      <c r="J68" s="7"/>
    </row>
    <row r="70" spans="1:21" x14ac:dyDescent="0.2">
      <c r="A70" s="32"/>
      <c r="B70" s="33" t="s">
        <v>20</v>
      </c>
      <c r="C70" s="33" t="s">
        <v>34</v>
      </c>
      <c r="D70" s="33" t="s">
        <v>33</v>
      </c>
      <c r="E70" s="33" t="s">
        <v>23</v>
      </c>
      <c r="F70" s="33" t="s">
        <v>24</v>
      </c>
      <c r="G70" s="33" t="s">
        <v>92</v>
      </c>
      <c r="H70" s="33" t="s">
        <v>26</v>
      </c>
      <c r="I70" s="33" t="s">
        <v>93</v>
      </c>
      <c r="J70" s="33" t="s">
        <v>7</v>
      </c>
    </row>
    <row r="71" spans="1:21" x14ac:dyDescent="0.2">
      <c r="A71" s="160" t="s">
        <v>149</v>
      </c>
      <c r="B71" s="160"/>
      <c r="C71" s="160"/>
      <c r="D71" s="160"/>
      <c r="E71" s="160"/>
      <c r="F71" s="160"/>
      <c r="G71" s="160"/>
      <c r="H71" s="160"/>
      <c r="I71" s="160"/>
      <c r="J71" s="160"/>
    </row>
    <row r="72" spans="1:21" x14ac:dyDescent="0.2">
      <c r="A72" s="8" t="s">
        <v>106</v>
      </c>
      <c r="B72" s="106">
        <v>2708.145</v>
      </c>
      <c r="C72" s="106">
        <v>2127.1849999999999</v>
      </c>
      <c r="D72" s="106">
        <v>1440.0129999999999</v>
      </c>
      <c r="E72" s="106">
        <v>744.04300000000001</v>
      </c>
      <c r="F72" s="106">
        <v>783.40499999999997</v>
      </c>
      <c r="G72" s="106">
        <v>244.25700000000001</v>
      </c>
      <c r="H72" s="106">
        <v>60.863999999999997</v>
      </c>
      <c r="I72" s="106">
        <v>109.74299999999999</v>
      </c>
      <c r="J72" s="106">
        <v>8217.6549999999988</v>
      </c>
      <c r="L72" s="148"/>
      <c r="M72" s="148"/>
      <c r="N72" s="148"/>
      <c r="O72" s="148"/>
      <c r="P72" s="148"/>
      <c r="Q72" s="148"/>
      <c r="R72" s="148"/>
      <c r="S72" s="148"/>
      <c r="T72" s="148"/>
      <c r="U72" s="148"/>
    </row>
    <row r="73" spans="1:21" x14ac:dyDescent="0.2">
      <c r="A73" s="8" t="s">
        <v>107</v>
      </c>
      <c r="B73" s="106"/>
      <c r="C73" s="106"/>
      <c r="D73" s="106"/>
      <c r="E73" s="106"/>
      <c r="F73" s="106"/>
      <c r="G73" s="106"/>
      <c r="H73" s="106"/>
      <c r="I73" s="106"/>
      <c r="J73" s="106"/>
      <c r="L73" s="148"/>
    </row>
    <row r="74" spans="1:21" x14ac:dyDescent="0.2">
      <c r="A74" s="8" t="s">
        <v>108</v>
      </c>
      <c r="B74" s="106"/>
      <c r="C74" s="106"/>
      <c r="D74" s="106"/>
      <c r="E74" s="106"/>
      <c r="F74" s="106"/>
      <c r="G74" s="106"/>
      <c r="H74" s="106"/>
      <c r="I74" s="106"/>
      <c r="J74" s="106"/>
      <c r="L74" s="148"/>
    </row>
    <row r="75" spans="1:21" x14ac:dyDescent="0.2">
      <c r="A75" s="8" t="s">
        <v>109</v>
      </c>
      <c r="B75" s="106">
        <v>2900.4830000000002</v>
      </c>
      <c r="C75" s="106">
        <v>2376.2649999999999</v>
      </c>
      <c r="D75" s="106">
        <v>1479.3520000000001</v>
      </c>
      <c r="E75" s="106">
        <v>848.69500000000005</v>
      </c>
      <c r="F75" s="106">
        <v>887.55200000000002</v>
      </c>
      <c r="G75" s="106">
        <v>268.70100000000002</v>
      </c>
      <c r="H75" s="106">
        <v>71.128</v>
      </c>
      <c r="I75" s="106">
        <v>127.553</v>
      </c>
      <c r="J75" s="106">
        <v>8959.7289999999994</v>
      </c>
      <c r="L75" s="148"/>
      <c r="M75" s="148"/>
      <c r="N75" s="148"/>
      <c r="O75" s="148"/>
      <c r="P75" s="148"/>
      <c r="Q75" s="148"/>
      <c r="R75" s="148"/>
      <c r="S75" s="148"/>
      <c r="T75" s="148"/>
    </row>
    <row r="76" spans="1:21" x14ac:dyDescent="0.2">
      <c r="A76" s="8" t="s">
        <v>110</v>
      </c>
      <c r="B76" s="106"/>
      <c r="C76" s="106"/>
      <c r="D76" s="106"/>
      <c r="E76" s="106"/>
      <c r="F76" s="106"/>
      <c r="G76" s="106"/>
      <c r="H76" s="106"/>
      <c r="I76" s="106"/>
      <c r="J76" s="106"/>
      <c r="L76" s="148"/>
    </row>
    <row r="77" spans="1:21" x14ac:dyDescent="0.2">
      <c r="A77" s="8" t="s">
        <v>111</v>
      </c>
      <c r="B77" s="106"/>
      <c r="C77" s="106"/>
      <c r="D77" s="106"/>
      <c r="E77" s="106"/>
      <c r="F77" s="106"/>
      <c r="G77" s="106"/>
      <c r="H77" s="106"/>
      <c r="I77" s="106"/>
      <c r="J77" s="106"/>
      <c r="L77" s="148"/>
    </row>
    <row r="78" spans="1:21" x14ac:dyDescent="0.2">
      <c r="A78" s="8" t="s">
        <v>112</v>
      </c>
      <c r="B78" s="106">
        <v>2993.6149999999998</v>
      </c>
      <c r="C78" s="106">
        <v>2556.029</v>
      </c>
      <c r="D78" s="106">
        <v>1567.163</v>
      </c>
      <c r="E78" s="106">
        <v>869.08100000000002</v>
      </c>
      <c r="F78" s="106">
        <v>946.98400000000004</v>
      </c>
      <c r="G78" s="106">
        <v>284.298</v>
      </c>
      <c r="H78" s="106">
        <v>60.651000000000003</v>
      </c>
      <c r="I78" s="106">
        <v>140.18600000000001</v>
      </c>
      <c r="J78" s="106">
        <v>9418.0070000000014</v>
      </c>
      <c r="L78" s="148"/>
      <c r="M78" s="148"/>
      <c r="N78" s="148"/>
      <c r="O78" s="148"/>
      <c r="P78" s="148"/>
      <c r="Q78" s="148"/>
      <c r="R78" s="148"/>
      <c r="S78" s="148"/>
      <c r="T78" s="148"/>
    </row>
    <row r="79" spans="1:21" x14ac:dyDescent="0.2">
      <c r="A79" s="8" t="s">
        <v>113</v>
      </c>
      <c r="B79" s="106"/>
      <c r="C79" s="106"/>
      <c r="D79" s="106"/>
      <c r="E79" s="106"/>
      <c r="F79" s="106"/>
      <c r="G79" s="106"/>
      <c r="H79" s="106"/>
      <c r="I79" s="106"/>
      <c r="J79" s="106"/>
      <c r="L79" s="148"/>
    </row>
    <row r="80" spans="1:21" x14ac:dyDescent="0.2">
      <c r="A80" s="8" t="s">
        <v>114</v>
      </c>
      <c r="B80" s="106"/>
      <c r="C80" s="106"/>
      <c r="D80" s="106"/>
      <c r="E80" s="106"/>
      <c r="F80" s="106"/>
      <c r="G80" s="106"/>
      <c r="H80" s="106"/>
      <c r="I80" s="106"/>
      <c r="J80" s="106"/>
      <c r="L80" s="148"/>
    </row>
    <row r="81" spans="1:20" x14ac:dyDescent="0.2">
      <c r="A81" s="8" t="s">
        <v>115</v>
      </c>
      <c r="B81" s="106">
        <v>3106.9110000000001</v>
      </c>
      <c r="C81" s="106">
        <v>2756.377</v>
      </c>
      <c r="D81" s="106">
        <v>1694.096</v>
      </c>
      <c r="E81" s="106">
        <v>922.69500000000005</v>
      </c>
      <c r="F81" s="106">
        <v>1071.9849999999999</v>
      </c>
      <c r="G81" s="106">
        <v>300.39</v>
      </c>
      <c r="H81" s="106">
        <v>84.323999999999998</v>
      </c>
      <c r="I81" s="106">
        <v>161.45500000000001</v>
      </c>
      <c r="J81" s="106">
        <v>10098.233</v>
      </c>
      <c r="L81" s="148"/>
      <c r="M81" s="148"/>
      <c r="N81" s="148"/>
      <c r="O81" s="148"/>
      <c r="P81" s="148"/>
      <c r="Q81" s="148"/>
      <c r="R81" s="148"/>
      <c r="S81" s="148"/>
      <c r="T81" s="148"/>
    </row>
    <row r="82" spans="1:20" x14ac:dyDescent="0.2">
      <c r="A82" s="8" t="s">
        <v>116</v>
      </c>
      <c r="B82" s="106"/>
      <c r="C82" s="106"/>
      <c r="D82" s="106"/>
      <c r="E82" s="106"/>
      <c r="F82" s="106"/>
      <c r="G82" s="106"/>
      <c r="H82" s="106"/>
      <c r="I82" s="106"/>
      <c r="J82" s="106"/>
      <c r="L82" s="148"/>
    </row>
    <row r="83" spans="1:20" x14ac:dyDescent="0.2">
      <c r="A83" s="8" t="s">
        <v>117</v>
      </c>
      <c r="B83" s="106">
        <v>3172.415</v>
      </c>
      <c r="C83" s="106">
        <v>2864.7109999999998</v>
      </c>
      <c r="D83" s="106">
        <v>1847.1890000000001</v>
      </c>
      <c r="E83" s="106">
        <v>932.82100000000003</v>
      </c>
      <c r="F83" s="106">
        <v>1114.46</v>
      </c>
      <c r="G83" s="106">
        <v>311.87</v>
      </c>
      <c r="H83" s="106">
        <v>84.16</v>
      </c>
      <c r="I83" s="106">
        <v>176.524</v>
      </c>
      <c r="J83" s="106">
        <v>10504.150000000001</v>
      </c>
      <c r="L83" s="148"/>
      <c r="M83" s="148"/>
      <c r="N83" s="148"/>
      <c r="O83" s="148"/>
      <c r="P83" s="148"/>
      <c r="Q83" s="148"/>
      <c r="R83" s="148"/>
      <c r="S83" s="148"/>
      <c r="T83" s="148"/>
    </row>
    <row r="84" spans="1:20" x14ac:dyDescent="0.2">
      <c r="A84" s="8" t="s">
        <v>118</v>
      </c>
      <c r="B84" s="106"/>
      <c r="C84" s="106"/>
      <c r="D84" s="106"/>
      <c r="E84" s="106"/>
      <c r="F84" s="106"/>
      <c r="G84" s="106"/>
      <c r="H84" s="106"/>
      <c r="I84" s="106"/>
      <c r="J84" s="106"/>
      <c r="L84" s="148"/>
    </row>
    <row r="85" spans="1:20" x14ac:dyDescent="0.2">
      <c r="A85" s="8" t="s">
        <v>119</v>
      </c>
      <c r="B85" s="106">
        <v>3332.4609999999998</v>
      </c>
      <c r="C85" s="106">
        <v>2869.88</v>
      </c>
      <c r="D85" s="106">
        <v>2012.88</v>
      </c>
      <c r="E85" s="106">
        <v>962.82399999999996</v>
      </c>
      <c r="F85" s="106">
        <v>1175.4870000000001</v>
      </c>
      <c r="G85" s="106">
        <v>319.87299999999999</v>
      </c>
      <c r="H85" s="106">
        <v>90.37</v>
      </c>
      <c r="I85" s="106">
        <v>183.755</v>
      </c>
      <c r="J85" s="106">
        <v>10947.530000000002</v>
      </c>
      <c r="L85" s="148"/>
      <c r="M85" s="148"/>
      <c r="N85" s="148"/>
      <c r="O85" s="148"/>
      <c r="P85" s="148"/>
      <c r="Q85" s="148"/>
      <c r="R85" s="148"/>
      <c r="S85" s="148"/>
      <c r="T85" s="148"/>
    </row>
    <row r="86" spans="1:20" x14ac:dyDescent="0.2">
      <c r="A86" s="8" t="s">
        <v>120</v>
      </c>
      <c r="B86" s="106">
        <v>3448.857</v>
      </c>
      <c r="C86" s="106">
        <v>3050.2350000000001</v>
      </c>
      <c r="D86" s="106">
        <v>2082.0479999999998</v>
      </c>
      <c r="E86" s="106">
        <v>984.47500000000002</v>
      </c>
      <c r="F86" s="106">
        <v>1224.9970000000001</v>
      </c>
      <c r="G86" s="106">
        <v>325.51900000000001</v>
      </c>
      <c r="H86" s="106">
        <v>96.165999999999997</v>
      </c>
      <c r="I86" s="106">
        <v>188.81200000000001</v>
      </c>
      <c r="J86" s="106">
        <v>11401.108999999999</v>
      </c>
      <c r="L86" s="148"/>
      <c r="M86" s="148"/>
      <c r="N86" s="148"/>
      <c r="O86" s="148"/>
      <c r="P86" s="148"/>
      <c r="Q86" s="148"/>
      <c r="R86" s="148"/>
      <c r="S86" s="148"/>
      <c r="T86" s="148"/>
    </row>
    <row r="87" spans="1:20" x14ac:dyDescent="0.2">
      <c r="A87" s="8" t="s">
        <v>121</v>
      </c>
      <c r="B87" s="106">
        <v>3530.1480000000001</v>
      </c>
      <c r="C87" s="106">
        <v>3118.9670000000001</v>
      </c>
      <c r="D87" s="106">
        <v>2132.1570000000002</v>
      </c>
      <c r="E87" s="106">
        <v>992.21100000000001</v>
      </c>
      <c r="F87" s="106">
        <v>1269.579</v>
      </c>
      <c r="G87" s="106">
        <v>324.983</v>
      </c>
      <c r="H87" s="106">
        <v>99.108000000000004</v>
      </c>
      <c r="I87" s="106">
        <v>197.238</v>
      </c>
      <c r="J87" s="106">
        <v>11664.391</v>
      </c>
      <c r="L87" s="148"/>
      <c r="M87" s="148"/>
      <c r="N87" s="148"/>
      <c r="O87" s="148"/>
      <c r="P87" s="148"/>
      <c r="Q87" s="148"/>
      <c r="R87" s="148"/>
      <c r="S87" s="148"/>
      <c r="T87" s="148"/>
    </row>
    <row r="88" spans="1:20" x14ac:dyDescent="0.2">
      <c r="A88" s="8" t="s">
        <v>122</v>
      </c>
      <c r="B88" s="106">
        <v>3682.636</v>
      </c>
      <c r="C88" s="106">
        <v>3177.39</v>
      </c>
      <c r="D88" s="106">
        <v>2228.8440000000001</v>
      </c>
      <c r="E88" s="106">
        <v>1031.06</v>
      </c>
      <c r="F88" s="106">
        <v>1327.203</v>
      </c>
      <c r="G88" s="106">
        <v>322.69499999999999</v>
      </c>
      <c r="H88" s="106">
        <v>102.19499999999999</v>
      </c>
      <c r="I88" s="106">
        <v>194.834</v>
      </c>
      <c r="J88" s="106">
        <v>12066.856999999998</v>
      </c>
      <c r="L88" s="148"/>
      <c r="M88" s="148"/>
      <c r="N88" s="148"/>
      <c r="O88" s="148"/>
      <c r="P88" s="148"/>
      <c r="Q88" s="148"/>
      <c r="R88" s="148"/>
      <c r="S88" s="148"/>
      <c r="T88" s="148"/>
    </row>
    <row r="89" spans="1:20" x14ac:dyDescent="0.2">
      <c r="A89" s="8" t="s">
        <v>123</v>
      </c>
      <c r="B89" s="106">
        <v>3679.3330000000001</v>
      </c>
      <c r="C89" s="106">
        <v>3266.4920000000002</v>
      </c>
      <c r="D89" s="106">
        <v>2315.6329999999998</v>
      </c>
      <c r="E89" s="106">
        <v>1032.491</v>
      </c>
      <c r="F89" s="106">
        <v>1344.809</v>
      </c>
      <c r="G89" s="106">
        <v>329.56799999999998</v>
      </c>
      <c r="H89" s="106">
        <v>103.17400000000001</v>
      </c>
      <c r="I89" s="106">
        <v>197.03299999999999</v>
      </c>
      <c r="J89" s="106">
        <v>12268.532999999999</v>
      </c>
      <c r="L89" s="148"/>
      <c r="M89" s="148"/>
      <c r="N89" s="148"/>
      <c r="O89" s="148"/>
      <c r="P89" s="148"/>
      <c r="Q89" s="148"/>
      <c r="R89" s="148"/>
      <c r="S89" s="148"/>
      <c r="T89" s="148"/>
    </row>
    <row r="90" spans="1:20" x14ac:dyDescent="0.2">
      <c r="A90" s="8" t="s">
        <v>124</v>
      </c>
      <c r="B90" s="106"/>
      <c r="C90" s="106"/>
      <c r="D90" s="106"/>
      <c r="E90" s="106"/>
      <c r="F90" s="106"/>
      <c r="G90" s="106"/>
      <c r="H90" s="106"/>
      <c r="I90" s="106"/>
      <c r="J90" s="106"/>
      <c r="L90" s="148"/>
    </row>
    <row r="91" spans="1:20" x14ac:dyDescent="0.2">
      <c r="A91" s="8" t="s">
        <v>125</v>
      </c>
      <c r="B91" s="106">
        <v>3745.5369999999998</v>
      </c>
      <c r="C91" s="106">
        <v>3317.6819999999998</v>
      </c>
      <c r="D91" s="106">
        <v>2354.3519999999999</v>
      </c>
      <c r="E91" s="106">
        <v>1050.567</v>
      </c>
      <c r="F91" s="106">
        <v>1371.3409999999999</v>
      </c>
      <c r="G91" s="106">
        <v>331.07299999999998</v>
      </c>
      <c r="H91" s="106">
        <v>102.824</v>
      </c>
      <c r="I91" s="106">
        <v>203.39099999999999</v>
      </c>
      <c r="J91" s="106">
        <v>12476.767</v>
      </c>
      <c r="L91" s="148"/>
      <c r="M91" s="148"/>
      <c r="N91" s="148"/>
      <c r="O91" s="148"/>
      <c r="P91" s="148"/>
      <c r="Q91" s="148"/>
      <c r="R91" s="148"/>
      <c r="S91" s="148"/>
      <c r="T91" s="148"/>
    </row>
    <row r="92" spans="1:20" x14ac:dyDescent="0.2">
      <c r="A92" s="8" t="s">
        <v>126</v>
      </c>
      <c r="B92" s="106">
        <v>3847.1320000000001</v>
      </c>
      <c r="C92" s="106">
        <v>3413.7080000000001</v>
      </c>
      <c r="D92" s="106">
        <v>2445.5239999999999</v>
      </c>
      <c r="E92" s="106">
        <v>1063.058</v>
      </c>
      <c r="F92" s="106">
        <v>1405.6759999999999</v>
      </c>
      <c r="G92" s="106">
        <v>335.05700000000002</v>
      </c>
      <c r="H92" s="106">
        <v>103.795</v>
      </c>
      <c r="I92" s="106">
        <v>208.011</v>
      </c>
      <c r="J92" s="106">
        <v>12821.960999999999</v>
      </c>
      <c r="L92" s="148"/>
      <c r="M92" s="148"/>
      <c r="N92" s="148"/>
      <c r="O92" s="148"/>
      <c r="P92" s="148"/>
      <c r="Q92" s="148"/>
      <c r="R92" s="148"/>
      <c r="S92" s="148"/>
      <c r="T92" s="148"/>
    </row>
    <row r="93" spans="1:20" x14ac:dyDescent="0.2">
      <c r="A93" s="8" t="s">
        <v>127</v>
      </c>
      <c r="B93" s="106">
        <v>3944.85</v>
      </c>
      <c r="C93" s="106">
        <v>3494.3139999999999</v>
      </c>
      <c r="D93" s="106">
        <v>2552.0610000000001</v>
      </c>
      <c r="E93" s="106">
        <v>1077.154</v>
      </c>
      <c r="F93" s="106">
        <v>1438.441</v>
      </c>
      <c r="G93" s="106">
        <v>338.48399999999998</v>
      </c>
      <c r="H93" s="106">
        <v>104.259</v>
      </c>
      <c r="I93" s="106">
        <v>213.39599999999999</v>
      </c>
      <c r="J93" s="106">
        <v>13162.959000000003</v>
      </c>
      <c r="L93" s="148"/>
      <c r="M93" s="148"/>
      <c r="N93" s="148"/>
      <c r="O93" s="148"/>
      <c r="P93" s="148"/>
      <c r="Q93" s="148"/>
      <c r="R93" s="148"/>
      <c r="S93" s="148"/>
      <c r="T93" s="148"/>
    </row>
    <row r="94" spans="1:20" x14ac:dyDescent="0.2">
      <c r="A94" s="8" t="s">
        <v>128</v>
      </c>
      <c r="B94" s="106">
        <v>4063.64</v>
      </c>
      <c r="C94" s="106">
        <v>3565.15</v>
      </c>
      <c r="D94" s="106">
        <v>2656.0439999999999</v>
      </c>
      <c r="E94" s="106">
        <v>1095.923</v>
      </c>
      <c r="F94" s="106">
        <v>1480.2059999999999</v>
      </c>
      <c r="G94" s="106">
        <v>350.40300000000002</v>
      </c>
      <c r="H94" s="106">
        <v>106.01600000000001</v>
      </c>
      <c r="I94" s="106">
        <v>215.68899999999999</v>
      </c>
      <c r="J94" s="106">
        <v>13533.071</v>
      </c>
      <c r="L94" s="148"/>
      <c r="M94" s="148"/>
      <c r="N94" s="148"/>
      <c r="O94" s="148"/>
      <c r="P94" s="148"/>
      <c r="Q94" s="148"/>
      <c r="R94" s="148"/>
      <c r="S94" s="148"/>
      <c r="T94" s="148"/>
    </row>
    <row r="95" spans="1:20" x14ac:dyDescent="0.2">
      <c r="A95" s="8" t="s">
        <v>129</v>
      </c>
      <c r="B95" s="106">
        <v>4170.3869999999997</v>
      </c>
      <c r="C95" s="106">
        <v>3649.5819999999999</v>
      </c>
      <c r="D95" s="106">
        <v>2767.3040000000001</v>
      </c>
      <c r="E95" s="106">
        <v>1111.712</v>
      </c>
      <c r="F95" s="106">
        <v>1529.615</v>
      </c>
      <c r="G95" s="106">
        <v>362.13400000000001</v>
      </c>
      <c r="H95" s="106">
        <v>109.819</v>
      </c>
      <c r="I95" s="106">
        <v>219.55199999999999</v>
      </c>
      <c r="J95" s="106">
        <v>13920.104999999998</v>
      </c>
      <c r="L95" s="148"/>
      <c r="M95" s="148"/>
      <c r="N95" s="148"/>
      <c r="O95" s="148"/>
      <c r="P95" s="148"/>
      <c r="Q95" s="148"/>
      <c r="R95" s="148"/>
      <c r="S95" s="148"/>
      <c r="T95" s="148"/>
    </row>
    <row r="96" spans="1:20" x14ac:dyDescent="0.2">
      <c r="A96" s="8" t="s">
        <v>130</v>
      </c>
      <c r="B96" s="106">
        <v>4268.6310000000003</v>
      </c>
      <c r="C96" s="106">
        <v>3740.7260000000001</v>
      </c>
      <c r="D96" s="106">
        <v>2897.8670000000002</v>
      </c>
      <c r="E96" s="106">
        <v>1137.9570000000001</v>
      </c>
      <c r="F96" s="106">
        <v>1600.566</v>
      </c>
      <c r="G96" s="106">
        <v>374.846</v>
      </c>
      <c r="H96" s="106">
        <v>114.015</v>
      </c>
      <c r="I96" s="106">
        <v>224.07599999999999</v>
      </c>
      <c r="J96" s="106">
        <v>14358.683999999999</v>
      </c>
      <c r="L96" s="148"/>
      <c r="M96" s="148"/>
      <c r="N96" s="148"/>
      <c r="O96" s="148"/>
      <c r="P96" s="148"/>
      <c r="Q96" s="148"/>
      <c r="R96" s="148"/>
      <c r="S96" s="148"/>
      <c r="T96" s="148"/>
    </row>
    <row r="97" spans="1:20" x14ac:dyDescent="0.2">
      <c r="A97" s="8" t="s">
        <v>131</v>
      </c>
      <c r="B97" s="106">
        <v>4361.2370000000001</v>
      </c>
      <c r="C97" s="106">
        <v>3818.0619999999999</v>
      </c>
      <c r="D97" s="106">
        <v>3033.4169999999999</v>
      </c>
      <c r="E97" s="106">
        <v>1156.961</v>
      </c>
      <c r="F97" s="106">
        <v>1676.4949999999999</v>
      </c>
      <c r="G97" s="106">
        <v>381.226</v>
      </c>
      <c r="H97" s="106">
        <v>118.178</v>
      </c>
      <c r="I97" s="106">
        <v>234.63399999999999</v>
      </c>
      <c r="J97" s="106">
        <v>14780.21</v>
      </c>
      <c r="L97" s="148"/>
      <c r="M97" s="148"/>
      <c r="N97" s="148"/>
      <c r="O97" s="148"/>
      <c r="P97" s="148"/>
      <c r="Q97" s="148"/>
      <c r="R97" s="148"/>
      <c r="S97" s="148"/>
      <c r="T97" s="148"/>
    </row>
    <row r="98" spans="1:20" x14ac:dyDescent="0.2">
      <c r="A98" s="8" t="s">
        <v>132</v>
      </c>
      <c r="B98" s="106">
        <v>4519.9629999999997</v>
      </c>
      <c r="C98" s="106">
        <v>3921.5740000000001</v>
      </c>
      <c r="D98" s="106">
        <v>3173.4470000000001</v>
      </c>
      <c r="E98" s="106">
        <v>1178.904</v>
      </c>
      <c r="F98" s="106">
        <v>1746.579</v>
      </c>
      <c r="G98" s="106">
        <v>391.327</v>
      </c>
      <c r="H98" s="106">
        <v>122.986</v>
      </c>
      <c r="I98" s="106">
        <v>241.762</v>
      </c>
      <c r="J98" s="106">
        <v>15296.542000000001</v>
      </c>
      <c r="L98" s="148"/>
      <c r="M98" s="148"/>
      <c r="N98" s="148"/>
      <c r="O98" s="148"/>
      <c r="P98" s="148"/>
      <c r="Q98" s="148"/>
      <c r="R98" s="148"/>
      <c r="S98" s="148"/>
      <c r="T98" s="148"/>
    </row>
    <row r="99" spans="1:20" x14ac:dyDescent="0.2">
      <c r="A99" s="8" t="s">
        <v>133</v>
      </c>
      <c r="B99" s="106">
        <v>4567.3860000000004</v>
      </c>
      <c r="C99" s="106">
        <v>4010.2759999999998</v>
      </c>
      <c r="D99" s="106">
        <v>3283.2429999999999</v>
      </c>
      <c r="E99" s="106">
        <v>1208.9259999999999</v>
      </c>
      <c r="F99" s="106">
        <v>1828.346</v>
      </c>
      <c r="G99" s="106">
        <v>400.51600000000002</v>
      </c>
      <c r="H99" s="106">
        <v>128.75800000000001</v>
      </c>
      <c r="I99" s="106">
        <v>246.98500000000001</v>
      </c>
      <c r="J99" s="106">
        <v>15674.436</v>
      </c>
      <c r="L99" s="148"/>
      <c r="M99" s="148"/>
      <c r="N99" s="148"/>
      <c r="O99" s="148"/>
      <c r="P99" s="148"/>
      <c r="Q99" s="148"/>
      <c r="R99" s="148"/>
      <c r="S99" s="148"/>
      <c r="T99" s="148"/>
    </row>
    <row r="100" spans="1:20" x14ac:dyDescent="0.2">
      <c r="A100" s="8" t="s">
        <v>134</v>
      </c>
      <c r="B100" s="106">
        <v>4681.4709999999995</v>
      </c>
      <c r="C100" s="106">
        <v>4112.9080000000004</v>
      </c>
      <c r="D100" s="106">
        <v>3358.221</v>
      </c>
      <c r="E100" s="106">
        <v>1239.672</v>
      </c>
      <c r="F100" s="106">
        <v>1870.068</v>
      </c>
      <c r="G100" s="106">
        <v>410.21</v>
      </c>
      <c r="H100" s="106">
        <v>134.69999999999999</v>
      </c>
      <c r="I100" s="106">
        <v>253.84800000000001</v>
      </c>
      <c r="J100" s="106">
        <v>16061.098</v>
      </c>
      <c r="L100" s="148"/>
      <c r="M100" s="148"/>
      <c r="N100" s="148"/>
      <c r="O100" s="148"/>
      <c r="P100" s="148"/>
      <c r="Q100" s="148"/>
      <c r="R100" s="148"/>
      <c r="S100" s="148"/>
      <c r="T100" s="148"/>
    </row>
    <row r="101" spans="1:20" x14ac:dyDescent="0.2">
      <c r="A101" s="8" t="s">
        <v>135</v>
      </c>
      <c r="B101" s="106">
        <v>4778.4210000000003</v>
      </c>
      <c r="C101" s="106">
        <v>4198.3710000000001</v>
      </c>
      <c r="D101" s="106">
        <v>3401.9319999999998</v>
      </c>
      <c r="E101" s="106">
        <v>1261.925</v>
      </c>
      <c r="F101" s="106">
        <v>1912.739</v>
      </c>
      <c r="G101" s="106">
        <v>419.00900000000001</v>
      </c>
      <c r="H101" s="106">
        <v>137.08199999999999</v>
      </c>
      <c r="I101" s="106">
        <v>258.904</v>
      </c>
      <c r="J101" s="106">
        <v>16368.383000000002</v>
      </c>
      <c r="L101" s="148"/>
      <c r="M101" s="148"/>
      <c r="N101" s="148"/>
      <c r="O101" s="148"/>
      <c r="P101" s="148"/>
      <c r="Q101" s="148"/>
      <c r="R101" s="148"/>
      <c r="S101" s="148"/>
      <c r="T101" s="148"/>
    </row>
    <row r="102" spans="1:20" x14ac:dyDescent="0.2">
      <c r="A102" s="8" t="s">
        <v>136</v>
      </c>
      <c r="B102" s="106">
        <v>4869.9960000000001</v>
      </c>
      <c r="C102" s="106">
        <v>4286.2839999999997</v>
      </c>
      <c r="D102" s="106">
        <v>3492.3110000000001</v>
      </c>
      <c r="E102" s="106">
        <v>1275.0409999999999</v>
      </c>
      <c r="F102" s="106">
        <v>1977.7560000000001</v>
      </c>
      <c r="G102" s="106">
        <v>431.99099999999999</v>
      </c>
      <c r="H102" s="106">
        <v>141.101</v>
      </c>
      <c r="I102" s="106">
        <v>267.16399999999999</v>
      </c>
      <c r="J102" s="106">
        <v>16741.643999999997</v>
      </c>
      <c r="L102" s="148"/>
      <c r="M102" s="148"/>
      <c r="N102" s="148"/>
      <c r="O102" s="148"/>
      <c r="P102" s="148"/>
      <c r="Q102" s="148"/>
      <c r="R102" s="148"/>
      <c r="S102" s="148"/>
      <c r="T102" s="148"/>
    </row>
    <row r="103" spans="1:20" x14ac:dyDescent="0.2">
      <c r="A103" s="8" t="s">
        <v>137</v>
      </c>
      <c r="B103" s="106">
        <v>4984.5569999999998</v>
      </c>
      <c r="C103" s="106">
        <v>4383.634</v>
      </c>
      <c r="D103" s="106">
        <v>3606.1210000000001</v>
      </c>
      <c r="E103" s="106">
        <v>1298.404</v>
      </c>
      <c r="F103" s="106">
        <v>2048.3879999999999</v>
      </c>
      <c r="G103" s="106">
        <v>436.99900000000002</v>
      </c>
      <c r="H103" s="106">
        <v>148.56899999999999</v>
      </c>
      <c r="I103" s="106">
        <v>273.92399999999998</v>
      </c>
      <c r="J103" s="106">
        <v>17180.595999999998</v>
      </c>
      <c r="L103" s="148"/>
      <c r="M103" s="148"/>
      <c r="N103" s="148"/>
      <c r="O103" s="148"/>
      <c r="P103" s="148"/>
      <c r="Q103" s="148"/>
      <c r="R103" s="148"/>
      <c r="S103" s="148"/>
      <c r="T103" s="148"/>
    </row>
    <row r="104" spans="1:20" x14ac:dyDescent="0.2">
      <c r="A104" s="8" t="s">
        <v>138</v>
      </c>
      <c r="B104" s="106">
        <v>5102.3519999999999</v>
      </c>
      <c r="C104" s="106">
        <v>4483.098</v>
      </c>
      <c r="D104" s="106">
        <v>3705.4</v>
      </c>
      <c r="E104" s="106">
        <v>1326.232</v>
      </c>
      <c r="F104" s="106">
        <v>2142.3069999999998</v>
      </c>
      <c r="G104" s="106">
        <v>442.57499999999999</v>
      </c>
      <c r="H104" s="106">
        <v>152.17699999999999</v>
      </c>
      <c r="I104" s="106">
        <v>279.35199999999998</v>
      </c>
      <c r="J104" s="106">
        <v>17633.492999999999</v>
      </c>
      <c r="L104" s="148"/>
      <c r="M104" s="148"/>
      <c r="N104" s="148"/>
      <c r="O104" s="148"/>
      <c r="P104" s="148"/>
      <c r="Q104" s="148"/>
      <c r="R104" s="148"/>
      <c r="S104" s="148"/>
      <c r="T104" s="148"/>
    </row>
    <row r="105" spans="1:20" x14ac:dyDescent="0.2">
      <c r="A105" s="8" t="s">
        <v>139</v>
      </c>
      <c r="B105" s="106">
        <v>5247.1989999999996</v>
      </c>
      <c r="C105" s="106">
        <v>4567.3140000000003</v>
      </c>
      <c r="D105" s="106">
        <v>3771.3209999999999</v>
      </c>
      <c r="E105" s="106">
        <v>1347.5139999999999</v>
      </c>
      <c r="F105" s="106">
        <v>2185.4090000000001</v>
      </c>
      <c r="G105" s="106">
        <v>450.40300000000002</v>
      </c>
      <c r="H105" s="106">
        <v>155.035</v>
      </c>
      <c r="I105" s="106">
        <v>283.572</v>
      </c>
      <c r="J105" s="106">
        <v>18007.767</v>
      </c>
      <c r="L105" s="148"/>
      <c r="M105" s="148"/>
      <c r="N105" s="148"/>
      <c r="O105" s="148"/>
      <c r="P105" s="148"/>
      <c r="Q105" s="148"/>
      <c r="R105" s="148"/>
      <c r="S105" s="148"/>
      <c r="T105" s="148"/>
    </row>
    <row r="106" spans="1:20" x14ac:dyDescent="0.2">
      <c r="A106" s="8" t="s">
        <v>140</v>
      </c>
      <c r="B106" s="106">
        <v>5374.4189999999999</v>
      </c>
      <c r="C106" s="106">
        <v>4681.3370000000004</v>
      </c>
      <c r="D106" s="106">
        <v>3854.2049999999999</v>
      </c>
      <c r="E106" s="106">
        <v>1364.7</v>
      </c>
      <c r="F106" s="106">
        <v>2208.8119999999999</v>
      </c>
      <c r="G106" s="106">
        <v>457.62900000000002</v>
      </c>
      <c r="H106" s="106">
        <v>157.71700000000001</v>
      </c>
      <c r="I106" s="106">
        <v>288.31700000000001</v>
      </c>
      <c r="J106" s="106">
        <v>18387.135999999999</v>
      </c>
      <c r="L106" s="148"/>
      <c r="M106" s="148"/>
      <c r="N106" s="148"/>
      <c r="O106" s="148"/>
      <c r="P106" s="148"/>
      <c r="Q106" s="148"/>
      <c r="R106" s="148"/>
      <c r="S106" s="148"/>
      <c r="T106" s="148"/>
    </row>
    <row r="107" spans="1:20" x14ac:dyDescent="0.2">
      <c r="A107" s="8" t="s">
        <v>141</v>
      </c>
      <c r="B107" s="106">
        <v>5509.1809999999996</v>
      </c>
      <c r="C107" s="106">
        <v>4798.0969999999998</v>
      </c>
      <c r="D107" s="106">
        <v>3948.1689999999999</v>
      </c>
      <c r="E107" s="106">
        <v>1386.0039999999999</v>
      </c>
      <c r="F107" s="106">
        <v>2219.2910000000002</v>
      </c>
      <c r="G107" s="106">
        <v>469.46699999999998</v>
      </c>
      <c r="H107" s="106">
        <v>155.36199999999999</v>
      </c>
      <c r="I107" s="106">
        <v>295.63299999999998</v>
      </c>
      <c r="J107" s="106">
        <v>18781.204000000002</v>
      </c>
      <c r="L107" s="148"/>
      <c r="M107" s="148"/>
      <c r="N107" s="148"/>
      <c r="O107" s="148"/>
      <c r="P107" s="148"/>
      <c r="Q107" s="148"/>
      <c r="R107" s="148"/>
      <c r="S107" s="148"/>
      <c r="T107" s="148"/>
    </row>
    <row r="108" spans="1:20" x14ac:dyDescent="0.2">
      <c r="A108" s="8" t="s">
        <v>142</v>
      </c>
      <c r="B108" s="106">
        <v>5618.3850000000002</v>
      </c>
      <c r="C108" s="106">
        <v>4923.0320000000002</v>
      </c>
      <c r="D108" s="106">
        <v>4045.335</v>
      </c>
      <c r="E108" s="106">
        <v>1408.96</v>
      </c>
      <c r="F108" s="106">
        <v>2231.5639999999999</v>
      </c>
      <c r="G108" s="106">
        <v>480.935</v>
      </c>
      <c r="H108" s="106">
        <v>162.5</v>
      </c>
      <c r="I108" s="106">
        <v>302.56799999999998</v>
      </c>
      <c r="J108" s="106">
        <v>19173.278999999999</v>
      </c>
      <c r="L108" s="148"/>
      <c r="M108" s="148"/>
      <c r="N108" s="148"/>
      <c r="O108" s="148"/>
      <c r="P108" s="148"/>
      <c r="Q108" s="148"/>
      <c r="R108" s="148"/>
      <c r="S108" s="148"/>
      <c r="T108" s="148"/>
    </row>
    <row r="109" spans="1:20" x14ac:dyDescent="0.2">
      <c r="A109" s="8" t="s">
        <v>143</v>
      </c>
      <c r="B109" s="106">
        <v>5702.2</v>
      </c>
      <c r="C109" s="106">
        <v>5030.9059999999999</v>
      </c>
      <c r="D109" s="106">
        <v>4134.3819999999996</v>
      </c>
      <c r="E109" s="106">
        <v>1428.9280000000001</v>
      </c>
      <c r="F109" s="106">
        <v>2244.971</v>
      </c>
      <c r="G109" s="106">
        <v>493.358</v>
      </c>
      <c r="H109" s="106">
        <v>161.63499999999999</v>
      </c>
      <c r="I109" s="106">
        <v>308.86099999999999</v>
      </c>
      <c r="J109" s="106">
        <v>19505.241000000002</v>
      </c>
      <c r="L109" s="148"/>
      <c r="M109" s="148"/>
      <c r="N109" s="148"/>
      <c r="O109" s="148"/>
      <c r="P109" s="148"/>
      <c r="Q109" s="148"/>
      <c r="R109" s="148"/>
      <c r="S109" s="148"/>
      <c r="T109" s="148"/>
    </row>
    <row r="110" spans="1:20" ht="13.5" thickBot="1" x14ac:dyDescent="0.25">
      <c r="A110" s="107" t="s">
        <v>144</v>
      </c>
      <c r="B110" s="108">
        <v>5779.0389999999998</v>
      </c>
      <c r="C110" s="108">
        <v>5119.5600000000004</v>
      </c>
      <c r="D110" s="108">
        <v>4205.1000000000004</v>
      </c>
      <c r="E110" s="108">
        <v>1444.96</v>
      </c>
      <c r="F110" s="108">
        <v>2278.759</v>
      </c>
      <c r="G110" s="108">
        <v>506.39100000000002</v>
      </c>
      <c r="H110" s="108">
        <v>160.47399999999999</v>
      </c>
      <c r="I110" s="108">
        <v>311.048</v>
      </c>
      <c r="J110" s="108">
        <v>19805.330999999998</v>
      </c>
      <c r="L110" s="148"/>
      <c r="M110" s="148"/>
      <c r="N110" s="148"/>
      <c r="O110" s="148"/>
      <c r="P110" s="148"/>
      <c r="Q110" s="148"/>
      <c r="R110" s="148"/>
      <c r="S110" s="148"/>
      <c r="T110" s="148"/>
    </row>
    <row r="111" spans="1:20" ht="13.5" thickTop="1" x14ac:dyDescent="0.2">
      <c r="A111" s="8" t="s">
        <v>145</v>
      </c>
      <c r="B111" s="106">
        <v>5954.3969999999999</v>
      </c>
      <c r="C111" s="106">
        <v>5174.9840000000004</v>
      </c>
      <c r="D111" s="106">
        <v>4343.2830000000004</v>
      </c>
      <c r="E111" s="106">
        <v>1485.3510000000001</v>
      </c>
      <c r="F111" s="106">
        <v>2312.2649999999999</v>
      </c>
      <c r="G111" s="106">
        <v>505.58199999999999</v>
      </c>
      <c r="H111" s="106">
        <v>163.52699999999999</v>
      </c>
      <c r="I111" s="106">
        <v>318.35000000000002</v>
      </c>
      <c r="J111" s="106">
        <v>20257.739000000001</v>
      </c>
      <c r="L111" s="148"/>
      <c r="M111" s="148"/>
      <c r="N111" s="148"/>
      <c r="O111" s="148"/>
      <c r="P111" s="148"/>
      <c r="Q111" s="148"/>
      <c r="R111" s="148"/>
      <c r="S111" s="148"/>
      <c r="T111" s="148"/>
    </row>
    <row r="112" spans="1:20" x14ac:dyDescent="0.2">
      <c r="A112" s="8">
        <v>2022</v>
      </c>
      <c r="B112" s="106">
        <v>6048.2879999999996</v>
      </c>
      <c r="C112" s="106">
        <v>5268.134</v>
      </c>
      <c r="D112" s="106">
        <v>4462.027</v>
      </c>
      <c r="E112" s="106">
        <v>1519.7670000000001</v>
      </c>
      <c r="F112" s="106">
        <v>2369.23</v>
      </c>
      <c r="G112" s="106">
        <v>520.43299999999999</v>
      </c>
      <c r="H112" s="106">
        <v>164.54</v>
      </c>
      <c r="I112" s="106">
        <v>324.17700000000002</v>
      </c>
      <c r="J112" s="106">
        <v>20676.596000000001</v>
      </c>
      <c r="L112" s="148"/>
      <c r="M112" s="148"/>
      <c r="N112" s="148"/>
      <c r="O112" s="148"/>
      <c r="P112" s="148"/>
      <c r="Q112" s="148"/>
      <c r="R112" s="148"/>
      <c r="S112" s="148"/>
      <c r="T112" s="148"/>
    </row>
    <row r="113" spans="1:31" x14ac:dyDescent="0.2">
      <c r="A113" s="8">
        <v>2023</v>
      </c>
      <c r="B113" s="106">
        <v>6155.7470000000003</v>
      </c>
      <c r="C113" s="106">
        <v>5387.3209999999999</v>
      </c>
      <c r="D113" s="106">
        <v>4598.6260000000002</v>
      </c>
      <c r="E113" s="106">
        <v>1552.356</v>
      </c>
      <c r="F113" s="106">
        <v>2437.4</v>
      </c>
      <c r="G113" s="106">
        <v>532.23699999999997</v>
      </c>
      <c r="H113" s="106">
        <v>166.059</v>
      </c>
      <c r="I113" s="106">
        <v>331.43799999999999</v>
      </c>
      <c r="J113" s="106">
        <v>21161.184000000001</v>
      </c>
      <c r="L113" s="148"/>
      <c r="M113" s="148"/>
      <c r="N113" s="148"/>
      <c r="O113" s="148"/>
      <c r="P113" s="148"/>
      <c r="Q113" s="148"/>
      <c r="R113" s="148"/>
      <c r="S113" s="148"/>
      <c r="T113" s="148"/>
    </row>
    <row r="114" spans="1:31" x14ac:dyDescent="0.2">
      <c r="A114" s="8">
        <v>2024</v>
      </c>
      <c r="B114" s="106">
        <v>6296.6459999999997</v>
      </c>
      <c r="C114" s="106">
        <v>5517.6279999999997</v>
      </c>
      <c r="D114" s="106">
        <v>4754.3239999999996</v>
      </c>
      <c r="E114" s="106">
        <v>1594.847</v>
      </c>
      <c r="F114" s="106">
        <v>2528.8200000000002</v>
      </c>
      <c r="G114" s="106">
        <v>541.22199999999998</v>
      </c>
      <c r="H114" s="106">
        <v>168.68</v>
      </c>
      <c r="I114" s="106">
        <v>337.87799999999999</v>
      </c>
      <c r="J114" s="106">
        <v>21740.044999999998</v>
      </c>
      <c r="L114" s="148"/>
      <c r="M114" s="148"/>
      <c r="N114" s="148"/>
      <c r="O114" s="148"/>
      <c r="P114" s="148"/>
      <c r="Q114" s="148"/>
      <c r="R114" s="148"/>
      <c r="S114" s="148"/>
      <c r="T114" s="148"/>
    </row>
    <row r="115" spans="1:31" x14ac:dyDescent="0.2">
      <c r="A115" s="6">
        <v>2025</v>
      </c>
      <c r="B115" s="109">
        <v>6407.8739999999998</v>
      </c>
      <c r="C115" s="109">
        <v>5686.1710000000003</v>
      </c>
      <c r="D115" s="109">
        <v>4892.4639999999999</v>
      </c>
      <c r="E115" s="109">
        <v>1632.4960000000001</v>
      </c>
      <c r="F115" s="109">
        <v>2621.1260000000002</v>
      </c>
      <c r="G115" s="109">
        <v>549.84699999999998</v>
      </c>
      <c r="H115" s="109">
        <v>170.989</v>
      </c>
      <c r="I115" s="109">
        <v>344.38</v>
      </c>
      <c r="J115" s="109">
        <v>22305.347000000002</v>
      </c>
      <c r="L115" s="148"/>
      <c r="M115" s="148"/>
      <c r="N115" s="148"/>
      <c r="O115" s="148"/>
      <c r="P115" s="148"/>
      <c r="Q115" s="148"/>
      <c r="R115" s="148"/>
      <c r="S115" s="148"/>
      <c r="T115" s="148"/>
    </row>
    <row r="116" spans="1:31" x14ac:dyDescent="0.2">
      <c r="A116" s="8" t="s">
        <v>381</v>
      </c>
    </row>
    <row r="117" spans="1:31" x14ac:dyDescent="0.2">
      <c r="A117" s="8" t="s">
        <v>290</v>
      </c>
    </row>
    <row r="118" spans="1:31" x14ac:dyDescent="0.2">
      <c r="A118" s="8" t="s">
        <v>380</v>
      </c>
    </row>
    <row r="119" spans="1:31" x14ac:dyDescent="0.2">
      <c r="A119" s="8" t="s">
        <v>382</v>
      </c>
    </row>
    <row r="120" spans="1:31" x14ac:dyDescent="0.2">
      <c r="A120" s="8" t="s">
        <v>383</v>
      </c>
    </row>
    <row r="124" spans="1:31" x14ac:dyDescent="0.2">
      <c r="A124" s="8" t="s">
        <v>384</v>
      </c>
    </row>
    <row r="125" spans="1:31" x14ac:dyDescent="0.2">
      <c r="A125" s="203" t="s">
        <v>193</v>
      </c>
      <c r="B125" s="205" t="s">
        <v>186</v>
      </c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</row>
    <row r="126" spans="1:31" x14ac:dyDescent="0.2">
      <c r="A126" s="204"/>
      <c r="B126" s="84" t="s">
        <v>187</v>
      </c>
      <c r="C126" s="84" t="s">
        <v>188</v>
      </c>
      <c r="D126" s="84" t="s">
        <v>189</v>
      </c>
      <c r="E126" s="84" t="s">
        <v>190</v>
      </c>
      <c r="F126" s="84" t="s">
        <v>200</v>
      </c>
      <c r="G126" s="84" t="s">
        <v>191</v>
      </c>
      <c r="H126" s="84" t="s">
        <v>201</v>
      </c>
      <c r="I126" s="84" t="s">
        <v>192</v>
      </c>
      <c r="J126" s="84" t="s">
        <v>202</v>
      </c>
      <c r="K126" s="84" t="s">
        <v>203</v>
      </c>
      <c r="L126" s="84" t="s">
        <v>204</v>
      </c>
    </row>
    <row r="127" spans="1:31" x14ac:dyDescent="0.2">
      <c r="A127" s="8">
        <v>2021</v>
      </c>
      <c r="B127" s="59">
        <v>10124</v>
      </c>
      <c r="C127" s="59">
        <v>1763</v>
      </c>
      <c r="D127" s="59">
        <v>1802</v>
      </c>
      <c r="E127" s="59">
        <v>187</v>
      </c>
      <c r="F127" s="59">
        <v>12</v>
      </c>
      <c r="G127" s="59">
        <v>218</v>
      </c>
      <c r="H127" s="59">
        <v>19</v>
      </c>
      <c r="I127" s="59">
        <v>299</v>
      </c>
      <c r="J127" s="59">
        <v>0</v>
      </c>
      <c r="K127" s="59">
        <v>0</v>
      </c>
      <c r="L127" s="59">
        <v>1276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2">
      <c r="A128" s="8">
        <v>2022</v>
      </c>
      <c r="B128" s="59">
        <v>22256</v>
      </c>
      <c r="C128" s="59">
        <v>2939</v>
      </c>
      <c r="D128" s="59">
        <v>2516</v>
      </c>
      <c r="E128" s="59">
        <v>1480</v>
      </c>
      <c r="F128" s="59">
        <v>27</v>
      </c>
      <c r="G128" s="59">
        <v>1075</v>
      </c>
      <c r="H128" s="59">
        <v>238</v>
      </c>
      <c r="I128" s="59">
        <v>534</v>
      </c>
      <c r="J128" s="59">
        <v>34</v>
      </c>
      <c r="K128" s="59">
        <v>271</v>
      </c>
      <c r="L128" s="59">
        <v>2407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">
      <c r="A129" s="8">
        <v>2023</v>
      </c>
      <c r="B129" s="146" t="s">
        <v>314</v>
      </c>
      <c r="C129" s="146" t="s">
        <v>315</v>
      </c>
      <c r="D129" s="146" t="s">
        <v>316</v>
      </c>
      <c r="E129" s="146" t="s">
        <v>317</v>
      </c>
      <c r="F129" s="146" t="s">
        <v>318</v>
      </c>
      <c r="G129" s="146" t="s">
        <v>319</v>
      </c>
      <c r="H129" s="146" t="s">
        <v>320</v>
      </c>
      <c r="I129" s="146" t="s">
        <v>321</v>
      </c>
      <c r="J129" s="146" t="s">
        <v>322</v>
      </c>
      <c r="K129" s="146" t="s">
        <v>323</v>
      </c>
      <c r="L129" s="146" t="s">
        <v>324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">
      <c r="A130" s="8">
        <v>2024</v>
      </c>
      <c r="B130" s="146" t="s">
        <v>325</v>
      </c>
      <c r="C130" s="146" t="s">
        <v>326</v>
      </c>
      <c r="D130" s="146" t="s">
        <v>327</v>
      </c>
      <c r="E130" s="146" t="s">
        <v>328</v>
      </c>
      <c r="F130" s="146" t="s">
        <v>329</v>
      </c>
      <c r="G130" s="146" t="s">
        <v>330</v>
      </c>
      <c r="H130" s="146" t="s">
        <v>331</v>
      </c>
      <c r="I130" s="146" t="s">
        <v>332</v>
      </c>
      <c r="J130" s="146" t="s">
        <v>333</v>
      </c>
      <c r="K130" s="146" t="s">
        <v>334</v>
      </c>
      <c r="L130" s="146" t="s">
        <v>335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">
      <c r="A131" s="6">
        <v>2025</v>
      </c>
      <c r="B131" s="147" t="s">
        <v>336</v>
      </c>
      <c r="C131" s="147" t="s">
        <v>337</v>
      </c>
      <c r="D131" s="147" t="s">
        <v>338</v>
      </c>
      <c r="E131" s="147" t="s">
        <v>339</v>
      </c>
      <c r="F131" s="147" t="s">
        <v>340</v>
      </c>
      <c r="G131" s="147" t="s">
        <v>341</v>
      </c>
      <c r="H131" s="147" t="s">
        <v>342</v>
      </c>
      <c r="I131" s="147" t="s">
        <v>343</v>
      </c>
      <c r="J131" s="147" t="s">
        <v>344</v>
      </c>
      <c r="K131" s="147" t="s">
        <v>345</v>
      </c>
      <c r="L131" s="147" t="s">
        <v>346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">
      <c r="A132" s="8" t="s">
        <v>385</v>
      </c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</row>
    <row r="133" spans="1:25" x14ac:dyDescent="0.2">
      <c r="A133" s="1" t="s">
        <v>386</v>
      </c>
    </row>
  </sheetData>
  <mergeCells count="3">
    <mergeCell ref="A5:I5"/>
    <mergeCell ref="A125:A126"/>
    <mergeCell ref="B125:L125"/>
  </mergeCells>
  <pageMargins left="0.74803149606299213" right="0.74803149606299213" top="0.98425196850393704" bottom="0.98425196850393704" header="0.51181102362204722" footer="0.51181102362204722"/>
  <pageSetup paperSize="9" scale="77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39"/>
  <sheetViews>
    <sheetView topLeftCell="A34" workbookViewId="0">
      <selection activeCell="E30" sqref="E30"/>
    </sheetView>
  </sheetViews>
  <sheetFormatPr defaultColWidth="9.140625" defaultRowHeight="12.75" x14ac:dyDescent="0.2"/>
  <cols>
    <col min="1" max="1" width="9.28515625" style="8" customWidth="1"/>
    <col min="2" max="4" width="19.7109375" style="5" customWidth="1"/>
    <col min="5" max="5" width="23.42578125" style="5" bestFit="1" customWidth="1"/>
    <col min="6" max="6" width="9.140625" style="5"/>
    <col min="7" max="7" width="11.42578125" style="5" bestFit="1" customWidth="1"/>
    <col min="8" max="16384" width="9.140625" style="5"/>
  </cols>
  <sheetData>
    <row r="1" spans="1:8" x14ac:dyDescent="0.2">
      <c r="A1" s="4"/>
    </row>
    <row r="2" spans="1:8" x14ac:dyDescent="0.2">
      <c r="A2" s="6" t="s">
        <v>286</v>
      </c>
      <c r="B2" s="7"/>
      <c r="C2" s="7"/>
      <c r="D2" s="7"/>
      <c r="E2" s="7"/>
    </row>
    <row r="4" spans="1:8" ht="38.25" customHeight="1" x14ac:dyDescent="0.2">
      <c r="A4" s="99" t="s">
        <v>38</v>
      </c>
      <c r="B4" s="9" t="s">
        <v>194</v>
      </c>
      <c r="C4" s="9" t="s">
        <v>152</v>
      </c>
      <c r="D4" s="9" t="s">
        <v>147</v>
      </c>
      <c r="E4" s="9" t="s">
        <v>153</v>
      </c>
      <c r="H4" s="91"/>
    </row>
    <row r="5" spans="1:8" x14ac:dyDescent="0.2">
      <c r="A5" s="200" t="s">
        <v>149</v>
      </c>
      <c r="B5" s="200"/>
      <c r="C5" s="200"/>
      <c r="D5" s="200"/>
      <c r="E5" s="200"/>
      <c r="H5" s="94"/>
    </row>
    <row r="6" spans="1:8" x14ac:dyDescent="0.2">
      <c r="A6" s="26" t="s">
        <v>70</v>
      </c>
      <c r="B6" s="54">
        <v>487.3</v>
      </c>
      <c r="C6" s="54">
        <v>45.6</v>
      </c>
      <c r="D6" s="54">
        <v>112.1</v>
      </c>
      <c r="E6" s="54">
        <v>645</v>
      </c>
      <c r="F6" s="100"/>
      <c r="G6" s="87"/>
      <c r="H6" s="94"/>
    </row>
    <row r="7" spans="1:8" x14ac:dyDescent="0.2">
      <c r="A7" s="26" t="s">
        <v>71</v>
      </c>
      <c r="B7" s="54">
        <v>487.7</v>
      </c>
      <c r="C7" s="54">
        <v>46.1</v>
      </c>
      <c r="D7" s="54">
        <v>105.5</v>
      </c>
      <c r="E7" s="54">
        <v>639.4</v>
      </c>
      <c r="F7" s="100"/>
      <c r="G7" s="87"/>
      <c r="H7" s="94"/>
    </row>
    <row r="8" spans="1:8" x14ac:dyDescent="0.2">
      <c r="A8" s="26" t="s">
        <v>72</v>
      </c>
      <c r="B8" s="54">
        <v>503.3</v>
      </c>
      <c r="C8" s="54">
        <v>58.7</v>
      </c>
      <c r="D8" s="54">
        <v>108.2</v>
      </c>
      <c r="E8" s="54">
        <v>670.2</v>
      </c>
      <c r="F8" s="100"/>
      <c r="G8" s="87"/>
    </row>
    <row r="9" spans="1:8" x14ac:dyDescent="0.2">
      <c r="A9" s="26" t="s">
        <v>73</v>
      </c>
      <c r="B9" s="54">
        <v>570.1</v>
      </c>
      <c r="C9" s="54">
        <v>87.7</v>
      </c>
      <c r="D9" s="54">
        <v>119.1</v>
      </c>
      <c r="E9" s="54">
        <v>776.9</v>
      </c>
      <c r="F9" s="100"/>
      <c r="G9" s="87"/>
      <c r="H9" s="13"/>
    </row>
    <row r="10" spans="1:8" x14ac:dyDescent="0.2">
      <c r="A10" s="26" t="s">
        <v>74</v>
      </c>
      <c r="B10" s="54">
        <v>575.70000000000005</v>
      </c>
      <c r="C10" s="54">
        <v>101.8</v>
      </c>
      <c r="D10" s="54">
        <v>128.30000000000001</v>
      </c>
      <c r="E10" s="54">
        <v>805.8</v>
      </c>
      <c r="F10" s="100"/>
      <c r="G10" s="87"/>
      <c r="H10" s="13"/>
    </row>
    <row r="11" spans="1:8" x14ac:dyDescent="0.2">
      <c r="A11" s="26" t="s">
        <v>75</v>
      </c>
      <c r="B11" s="54">
        <v>509.4</v>
      </c>
      <c r="C11" s="54">
        <v>97.6</v>
      </c>
      <c r="D11" s="54">
        <v>135.6</v>
      </c>
      <c r="E11" s="54">
        <v>742.6</v>
      </c>
      <c r="F11" s="100"/>
      <c r="G11" s="87"/>
      <c r="H11" s="13"/>
    </row>
    <row r="12" spans="1:8" x14ac:dyDescent="0.2">
      <c r="A12" s="26" t="s">
        <v>76</v>
      </c>
      <c r="B12" s="54">
        <v>571</v>
      </c>
      <c r="C12" s="54">
        <v>114.8</v>
      </c>
      <c r="D12" s="54">
        <v>122.9</v>
      </c>
      <c r="E12" s="54">
        <v>808.7</v>
      </c>
      <c r="F12" s="100"/>
      <c r="G12" s="87"/>
      <c r="H12" s="11"/>
    </row>
    <row r="13" spans="1:8" x14ac:dyDescent="0.2">
      <c r="A13" s="26" t="s">
        <v>77</v>
      </c>
      <c r="B13" s="54">
        <v>537.6</v>
      </c>
      <c r="C13" s="54">
        <v>129.1</v>
      </c>
      <c r="D13" s="54">
        <v>137.9</v>
      </c>
      <c r="E13" s="54">
        <v>804.6</v>
      </c>
      <c r="F13" s="100"/>
      <c r="G13" s="87"/>
      <c r="H13" s="13"/>
    </row>
    <row r="14" spans="1:8" x14ac:dyDescent="0.2">
      <c r="A14" s="26" t="s">
        <v>78</v>
      </c>
      <c r="B14" s="54">
        <v>560.20000000000005</v>
      </c>
      <c r="C14" s="54">
        <v>144</v>
      </c>
      <c r="D14" s="54">
        <v>156.4</v>
      </c>
      <c r="E14" s="54">
        <v>860.5</v>
      </c>
      <c r="F14" s="100"/>
      <c r="G14" s="87"/>
    </row>
    <row r="15" spans="1:8" x14ac:dyDescent="0.2">
      <c r="A15" s="26" t="s">
        <v>79</v>
      </c>
      <c r="B15" s="54">
        <v>594.4</v>
      </c>
      <c r="C15" s="54">
        <v>160.9</v>
      </c>
      <c r="D15" s="54">
        <v>184.8</v>
      </c>
      <c r="E15" s="54">
        <v>940.1</v>
      </c>
      <c r="F15" s="100"/>
      <c r="G15" s="87"/>
    </row>
    <row r="16" spans="1:8" x14ac:dyDescent="0.2">
      <c r="A16" s="26" t="s">
        <v>80</v>
      </c>
      <c r="B16" s="54">
        <v>604</v>
      </c>
      <c r="C16" s="54">
        <v>182</v>
      </c>
      <c r="D16" s="54">
        <v>195.8</v>
      </c>
      <c r="E16" s="54">
        <v>981.8</v>
      </c>
      <c r="F16" s="100"/>
      <c r="G16" s="87"/>
    </row>
    <row r="17" spans="1:7" x14ac:dyDescent="0.2">
      <c r="A17" s="26" t="s">
        <v>81</v>
      </c>
      <c r="B17" s="54">
        <v>599.4</v>
      </c>
      <c r="C17" s="54">
        <v>173.3</v>
      </c>
      <c r="D17" s="54">
        <v>198.7</v>
      </c>
      <c r="E17" s="54">
        <v>971.4</v>
      </c>
      <c r="F17" s="100"/>
      <c r="G17" s="87"/>
    </row>
    <row r="18" spans="1:7" x14ac:dyDescent="0.2">
      <c r="A18" s="26" t="s">
        <v>82</v>
      </c>
      <c r="B18" s="54">
        <v>624.1</v>
      </c>
      <c r="C18" s="54">
        <v>180.4</v>
      </c>
      <c r="D18" s="54">
        <v>199.4</v>
      </c>
      <c r="E18" s="54">
        <v>1003.9</v>
      </c>
      <c r="F18" s="100"/>
      <c r="G18" s="87"/>
    </row>
    <row r="19" spans="1:7" x14ac:dyDescent="0.2">
      <c r="A19" s="26" t="s">
        <v>83</v>
      </c>
      <c r="B19" s="54">
        <v>631.79999999999995</v>
      </c>
      <c r="C19" s="54">
        <v>210.9</v>
      </c>
      <c r="D19" s="54">
        <v>225.5</v>
      </c>
      <c r="E19" s="54">
        <v>1068.3</v>
      </c>
      <c r="F19" s="100"/>
      <c r="G19" s="87"/>
    </row>
    <row r="20" spans="1:7" x14ac:dyDescent="0.2">
      <c r="A20" s="26" t="s">
        <v>84</v>
      </c>
      <c r="B20" s="54">
        <v>542.79999999999995</v>
      </c>
      <c r="C20" s="54">
        <v>176.1</v>
      </c>
      <c r="D20" s="54">
        <v>205.9</v>
      </c>
      <c r="E20" s="54">
        <v>924.7</v>
      </c>
      <c r="F20" s="100"/>
      <c r="G20" s="87"/>
    </row>
    <row r="21" spans="1:7" x14ac:dyDescent="0.2">
      <c r="A21" s="26" t="s">
        <v>85</v>
      </c>
      <c r="B21" s="54">
        <v>582.1</v>
      </c>
      <c r="C21" s="54">
        <v>216.2</v>
      </c>
      <c r="D21" s="54">
        <v>215</v>
      </c>
      <c r="E21" s="54">
        <v>1013.3</v>
      </c>
      <c r="F21" s="100"/>
      <c r="G21" s="87"/>
    </row>
    <row r="22" spans="1:7" x14ac:dyDescent="0.2">
      <c r="A22" s="26" t="s">
        <v>86</v>
      </c>
      <c r="B22" s="54">
        <v>566.29999999999995</v>
      </c>
      <c r="C22" s="54">
        <v>230.6</v>
      </c>
      <c r="D22" s="54">
        <v>203.7</v>
      </c>
      <c r="E22" s="54">
        <v>1000.6</v>
      </c>
      <c r="F22" s="100"/>
      <c r="G22" s="87"/>
    </row>
    <row r="23" spans="1:7" x14ac:dyDescent="0.2">
      <c r="A23" s="26" t="s">
        <v>87</v>
      </c>
      <c r="B23" s="14">
        <v>567.95399999999995</v>
      </c>
      <c r="C23" s="14">
        <v>282.476</v>
      </c>
      <c r="D23" s="14">
        <v>209.625</v>
      </c>
      <c r="E23" s="14">
        <v>1060.0549999999998</v>
      </c>
      <c r="F23" s="100"/>
      <c r="G23" s="87"/>
    </row>
    <row r="24" spans="1:7" x14ac:dyDescent="0.2">
      <c r="A24" s="26" t="s">
        <v>27</v>
      </c>
      <c r="B24" s="14">
        <v>571.95000000000005</v>
      </c>
      <c r="C24" s="14">
        <v>323.10899999999998</v>
      </c>
      <c r="D24" s="14">
        <v>242.83</v>
      </c>
      <c r="E24" s="14">
        <v>1137.8889999999999</v>
      </c>
      <c r="F24" s="100"/>
      <c r="G24" s="87"/>
    </row>
    <row r="25" spans="1:7" x14ac:dyDescent="0.2">
      <c r="A25" s="26" t="s">
        <v>28</v>
      </c>
      <c r="B25" s="14">
        <v>554.28700000000003</v>
      </c>
      <c r="C25" s="14">
        <v>338.411</v>
      </c>
      <c r="D25" s="14">
        <v>229.76900000000001</v>
      </c>
      <c r="E25" s="14">
        <v>1122.4670000000001</v>
      </c>
      <c r="F25" s="100"/>
      <c r="G25" s="87"/>
    </row>
    <row r="26" spans="1:7" x14ac:dyDescent="0.2">
      <c r="A26" s="26" t="s">
        <v>29</v>
      </c>
      <c r="B26" s="14">
        <v>523.30799999999999</v>
      </c>
      <c r="C26" s="14">
        <v>376.57900000000001</v>
      </c>
      <c r="D26" s="14">
        <v>231.81899999999999</v>
      </c>
      <c r="E26" s="14">
        <v>1131.7059999999999</v>
      </c>
      <c r="F26" s="100"/>
      <c r="G26" s="87"/>
    </row>
    <row r="27" spans="1:7" x14ac:dyDescent="0.2">
      <c r="A27" s="26" t="s">
        <v>30</v>
      </c>
      <c r="B27" s="14">
        <v>502.08</v>
      </c>
      <c r="C27" s="14">
        <v>431.19900000000001</v>
      </c>
      <c r="D27" s="14">
        <v>241.84200000000001</v>
      </c>
      <c r="E27" s="14">
        <v>1175.1210000000001</v>
      </c>
      <c r="F27" s="100"/>
      <c r="G27" s="87"/>
    </row>
    <row r="28" spans="1:7" s="101" customFormat="1" x14ac:dyDescent="0.2">
      <c r="A28" s="46" t="s">
        <v>31</v>
      </c>
      <c r="B28" s="49">
        <v>469.375</v>
      </c>
      <c r="C28" s="49">
        <v>452.12200000000001</v>
      </c>
      <c r="D28" s="49">
        <v>258.048</v>
      </c>
      <c r="E28" s="14">
        <v>1179.5450000000001</v>
      </c>
      <c r="F28" s="100"/>
      <c r="G28" s="87"/>
    </row>
    <row r="29" spans="1:7" s="101" customFormat="1" ht="13.5" thickBot="1" x14ac:dyDescent="0.25">
      <c r="A29" s="46" t="s">
        <v>32</v>
      </c>
      <c r="B29" s="150">
        <v>424.09500000000003</v>
      </c>
      <c r="C29" s="150">
        <v>490.65600000000001</v>
      </c>
      <c r="D29" s="150">
        <v>280.33499999999998</v>
      </c>
      <c r="E29" s="150">
        <v>1195.086</v>
      </c>
      <c r="F29" s="100"/>
      <c r="G29" s="87"/>
    </row>
    <row r="30" spans="1:7" s="101" customFormat="1" ht="13.5" thickTop="1" x14ac:dyDescent="0.2">
      <c r="A30" s="46" t="s">
        <v>88</v>
      </c>
      <c r="B30" s="49">
        <v>344.71600000000001</v>
      </c>
      <c r="C30" s="49">
        <v>483.25835999999998</v>
      </c>
      <c r="D30" s="49">
        <v>274.08064000000002</v>
      </c>
      <c r="E30" s="49">
        <v>1102.0550000000001</v>
      </c>
      <c r="F30" s="100"/>
      <c r="G30" s="87"/>
    </row>
    <row r="31" spans="1:7" s="101" customFormat="1" x14ac:dyDescent="0.2">
      <c r="A31" s="46" t="s">
        <v>89</v>
      </c>
      <c r="B31" s="49">
        <v>258.053</v>
      </c>
      <c r="C31" s="49">
        <v>449.31200000000001</v>
      </c>
      <c r="D31" s="49">
        <v>243.45099999999999</v>
      </c>
      <c r="E31" s="49">
        <v>950.81600000000003</v>
      </c>
      <c r="F31" s="100"/>
      <c r="G31" s="87"/>
    </row>
    <row r="32" spans="1:7" s="101" customFormat="1" x14ac:dyDescent="0.2">
      <c r="A32" s="46" t="s">
        <v>90</v>
      </c>
      <c r="B32" s="49">
        <v>229.90299999999999</v>
      </c>
      <c r="C32" s="49">
        <v>534.73</v>
      </c>
      <c r="D32" s="49">
        <v>277.38799999999998</v>
      </c>
      <c r="E32" s="49">
        <v>1042.021</v>
      </c>
      <c r="F32" s="100"/>
      <c r="G32" s="87"/>
    </row>
    <row r="33" spans="1:7" s="101" customFormat="1" ht="14.25" customHeight="1" x14ac:dyDescent="0.2">
      <c r="A33" s="46" t="s">
        <v>183</v>
      </c>
      <c r="B33" s="49">
        <v>205.33600000000001</v>
      </c>
      <c r="C33" s="49">
        <v>521.01900000000001</v>
      </c>
      <c r="D33" s="49">
        <v>293.86599999999999</v>
      </c>
      <c r="E33" s="49">
        <v>1020.221</v>
      </c>
      <c r="F33" s="100"/>
      <c r="G33" s="87"/>
    </row>
    <row r="34" spans="1:7" s="101" customFormat="1" ht="14.25" customHeight="1" x14ac:dyDescent="0.2">
      <c r="A34" s="46" t="s">
        <v>184</v>
      </c>
      <c r="B34" s="49">
        <v>202.416</v>
      </c>
      <c r="C34" s="49">
        <v>615.08399999999995</v>
      </c>
      <c r="D34" s="49">
        <v>307.83</v>
      </c>
      <c r="E34" s="49">
        <v>1125.33</v>
      </c>
      <c r="F34" s="100"/>
      <c r="G34" s="87"/>
    </row>
    <row r="35" spans="1:7" s="101" customFormat="1" x14ac:dyDescent="0.2">
      <c r="A35" s="46" t="s">
        <v>209</v>
      </c>
      <c r="B35" s="49">
        <v>220.72</v>
      </c>
      <c r="C35" s="49">
        <v>708.60299999999995</v>
      </c>
      <c r="D35" s="49">
        <v>338.11</v>
      </c>
      <c r="E35" s="49">
        <v>1267.433</v>
      </c>
      <c r="F35" s="100"/>
      <c r="G35" s="87"/>
    </row>
    <row r="36" spans="1:7" s="101" customFormat="1" x14ac:dyDescent="0.2">
      <c r="A36" s="28" t="s">
        <v>223</v>
      </c>
      <c r="B36" s="52">
        <v>171.76</v>
      </c>
      <c r="C36" s="52">
        <v>709.41700000000003</v>
      </c>
      <c r="D36" s="52">
        <v>315.82900000000001</v>
      </c>
      <c r="E36" s="52">
        <v>1197.0060000000001</v>
      </c>
      <c r="F36" s="100"/>
      <c r="G36" s="87"/>
    </row>
    <row r="37" spans="1:7" s="101" customFormat="1" x14ac:dyDescent="0.2">
      <c r="A37" s="19" t="s">
        <v>307</v>
      </c>
      <c r="B37" s="100"/>
      <c r="C37" s="100"/>
      <c r="D37" s="100"/>
      <c r="E37" s="100"/>
      <c r="F37" s="100"/>
    </row>
    <row r="38" spans="1:7" s="101" customFormat="1" x14ac:dyDescent="0.2">
      <c r="A38" s="19" t="s">
        <v>387</v>
      </c>
      <c r="B38" s="100"/>
      <c r="C38" s="100"/>
      <c r="D38" s="100"/>
      <c r="E38" s="100"/>
      <c r="F38" s="100"/>
    </row>
    <row r="39" spans="1:7" ht="12.75" customHeight="1" x14ac:dyDescent="0.2">
      <c r="A39" s="16" t="s">
        <v>388</v>
      </c>
      <c r="B39" s="16"/>
      <c r="C39" s="16"/>
      <c r="D39" s="16"/>
      <c r="E39" s="16"/>
    </row>
    <row r="40" spans="1:7" x14ac:dyDescent="0.2">
      <c r="A40" s="1" t="s">
        <v>389</v>
      </c>
    </row>
    <row r="41" spans="1:7" x14ac:dyDescent="0.2">
      <c r="A41" s="5"/>
    </row>
    <row r="42" spans="1:7" x14ac:dyDescent="0.2">
      <c r="A42" s="5"/>
    </row>
    <row r="43" spans="1:7" x14ac:dyDescent="0.2">
      <c r="A43" s="5"/>
    </row>
    <row r="44" spans="1:7" x14ac:dyDescent="0.2">
      <c r="A44" s="5"/>
    </row>
    <row r="45" spans="1:7" x14ac:dyDescent="0.2">
      <c r="A45" s="5"/>
    </row>
    <row r="46" spans="1:7" x14ac:dyDescent="0.2">
      <c r="A46" s="5"/>
    </row>
    <row r="47" spans="1:7" x14ac:dyDescent="0.2">
      <c r="A47" s="5"/>
    </row>
    <row r="48" spans="1:7" x14ac:dyDescent="0.2">
      <c r="A48" s="5"/>
    </row>
    <row r="49" spans="1:9" x14ac:dyDescent="0.2">
      <c r="A49" s="5"/>
    </row>
    <row r="50" spans="1:9" x14ac:dyDescent="0.2">
      <c r="A50" s="5"/>
    </row>
    <row r="51" spans="1:9" x14ac:dyDescent="0.2">
      <c r="A51" s="5"/>
    </row>
    <row r="52" spans="1:9" x14ac:dyDescent="0.2">
      <c r="A52" s="5"/>
    </row>
    <row r="53" spans="1:9" x14ac:dyDescent="0.2">
      <c r="A53" s="5"/>
    </row>
    <row r="54" spans="1:9" x14ac:dyDescent="0.2">
      <c r="A54" s="5"/>
    </row>
    <row r="55" spans="1:9" x14ac:dyDescent="0.2">
      <c r="A55" s="5"/>
    </row>
    <row r="56" spans="1:9" x14ac:dyDescent="0.2">
      <c r="A56" s="5"/>
      <c r="F56" s="103"/>
    </row>
    <row r="57" spans="1:9" x14ac:dyDescent="0.2">
      <c r="A57" s="5"/>
      <c r="F57" s="103"/>
    </row>
    <row r="58" spans="1:9" x14ac:dyDescent="0.2">
      <c r="A58" s="5"/>
      <c r="F58" s="103"/>
    </row>
    <row r="59" spans="1:9" x14ac:dyDescent="0.2">
      <c r="A59" s="5"/>
    </row>
    <row r="60" spans="1:9" x14ac:dyDescent="0.2">
      <c r="A60" s="5"/>
      <c r="I60" s="94"/>
    </row>
    <row r="61" spans="1:9" x14ac:dyDescent="0.2">
      <c r="A61" s="5"/>
      <c r="I61" s="94"/>
    </row>
    <row r="62" spans="1:9" x14ac:dyDescent="0.2">
      <c r="A62" s="5"/>
    </row>
    <row r="63" spans="1:9" x14ac:dyDescent="0.2">
      <c r="A63" s="5"/>
    </row>
    <row r="64" spans="1:9" x14ac:dyDescent="0.2">
      <c r="A64" s="5"/>
    </row>
    <row r="65" spans="1:1" x14ac:dyDescent="0.2">
      <c r="A65" s="5"/>
    </row>
    <row r="66" spans="1:1" x14ac:dyDescent="0.2">
      <c r="A66" s="5"/>
    </row>
    <row r="67" spans="1:1" x14ac:dyDescent="0.2">
      <c r="A67" s="5"/>
    </row>
    <row r="68" spans="1:1" x14ac:dyDescent="0.2">
      <c r="A68" s="5"/>
    </row>
    <row r="69" spans="1:1" x14ac:dyDescent="0.2">
      <c r="A69" s="5"/>
    </row>
    <row r="70" spans="1:1" x14ac:dyDescent="0.2">
      <c r="A70" s="5"/>
    </row>
    <row r="71" spans="1:1" x14ac:dyDescent="0.2">
      <c r="A71" s="5"/>
    </row>
    <row r="72" spans="1:1" x14ac:dyDescent="0.2">
      <c r="A72" s="5"/>
    </row>
    <row r="73" spans="1:1" x14ac:dyDescent="0.2">
      <c r="A73" s="5"/>
    </row>
    <row r="74" spans="1:1" x14ac:dyDescent="0.2">
      <c r="A74" s="5"/>
    </row>
    <row r="75" spans="1:1" x14ac:dyDescent="0.2">
      <c r="A75" s="5"/>
    </row>
    <row r="76" spans="1:1" x14ac:dyDescent="0.2">
      <c r="A76" s="5"/>
    </row>
    <row r="77" spans="1:1" x14ac:dyDescent="0.2">
      <c r="A77" s="5"/>
    </row>
    <row r="79" spans="1:1" ht="15" customHeight="1" x14ac:dyDescent="0.2"/>
    <row r="82" spans="18:18" x14ac:dyDescent="0.2">
      <c r="R82" s="104"/>
    </row>
    <row r="83" spans="18:18" x14ac:dyDescent="0.2">
      <c r="R83" s="104"/>
    </row>
    <row r="93" spans="18:18" s="105" customFormat="1" x14ac:dyDescent="0.2"/>
    <row r="94" spans="18:18" s="105" customFormat="1" x14ac:dyDescent="0.2"/>
    <row r="95" spans="18:18" s="105" customFormat="1" x14ac:dyDescent="0.2"/>
    <row r="96" spans="18:18" s="105" customFormat="1" x14ac:dyDescent="0.2"/>
    <row r="97" s="105" customFormat="1" x14ac:dyDescent="0.2"/>
    <row r="98" s="105" customFormat="1" ht="41.1" customHeight="1" x14ac:dyDescent="0.2"/>
    <row r="99" s="105" customFormat="1" x14ac:dyDescent="0.2"/>
    <row r="100" s="105" customFormat="1" x14ac:dyDescent="0.2"/>
    <row r="101" s="105" customFormat="1" x14ac:dyDescent="0.2"/>
    <row r="102" s="105" customFormat="1" x14ac:dyDescent="0.2"/>
    <row r="103" s="105" customFormat="1" x14ac:dyDescent="0.2"/>
    <row r="104" s="105" customFormat="1" x14ac:dyDescent="0.2"/>
    <row r="105" s="105" customFormat="1" x14ac:dyDescent="0.2"/>
    <row r="106" s="105" customFormat="1" x14ac:dyDescent="0.2"/>
    <row r="107" s="105" customFormat="1" x14ac:dyDescent="0.2"/>
    <row r="108" s="105" customFormat="1" x14ac:dyDescent="0.2"/>
    <row r="109" s="105" customFormat="1" x14ac:dyDescent="0.2"/>
    <row r="110" s="105" customFormat="1" ht="15" customHeight="1" x14ac:dyDescent="0.2"/>
    <row r="111" s="105" customFormat="1" x14ac:dyDescent="0.2"/>
    <row r="112" s="105" customFormat="1" x14ac:dyDescent="0.2"/>
    <row r="113" spans="1:1" s="105" customFormat="1" x14ac:dyDescent="0.2"/>
    <row r="114" spans="1:1" s="105" customFormat="1" x14ac:dyDescent="0.2"/>
    <row r="115" spans="1:1" s="105" customFormat="1" x14ac:dyDescent="0.2"/>
    <row r="116" spans="1:1" s="105" customFormat="1" x14ac:dyDescent="0.2"/>
    <row r="117" spans="1:1" s="105" customFormat="1" x14ac:dyDescent="0.2"/>
    <row r="118" spans="1:1" s="105" customFormat="1" x14ac:dyDescent="0.2"/>
    <row r="119" spans="1:1" s="105" customFormat="1" x14ac:dyDescent="0.2"/>
    <row r="120" spans="1:1" s="105" customFormat="1" x14ac:dyDescent="0.2"/>
    <row r="121" spans="1:1" s="105" customFormat="1" x14ac:dyDescent="0.2"/>
    <row r="122" spans="1:1" s="105" customFormat="1" x14ac:dyDescent="0.2"/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  <row r="201" spans="1:1" x14ac:dyDescent="0.2">
      <c r="A201" s="5"/>
    </row>
    <row r="202" spans="1:1" x14ac:dyDescent="0.2">
      <c r="A202" s="5"/>
    </row>
    <row r="203" spans="1:1" x14ac:dyDescent="0.2">
      <c r="A203" s="5"/>
    </row>
    <row r="204" spans="1:1" x14ac:dyDescent="0.2">
      <c r="A204" s="5"/>
    </row>
    <row r="205" spans="1:1" x14ac:dyDescent="0.2">
      <c r="A205" s="5"/>
    </row>
    <row r="206" spans="1:1" x14ac:dyDescent="0.2">
      <c r="A206" s="5"/>
    </row>
    <row r="207" spans="1:1" x14ac:dyDescent="0.2">
      <c r="A207" s="5"/>
    </row>
    <row r="208" spans="1:1" x14ac:dyDescent="0.2">
      <c r="A208" s="5"/>
    </row>
    <row r="209" spans="1:1" x14ac:dyDescent="0.2">
      <c r="A209" s="5"/>
    </row>
    <row r="210" spans="1:1" x14ac:dyDescent="0.2">
      <c r="A210" s="5"/>
    </row>
    <row r="211" spans="1:1" x14ac:dyDescent="0.2">
      <c r="A211" s="5"/>
    </row>
    <row r="212" spans="1:1" x14ac:dyDescent="0.2">
      <c r="A212" s="5"/>
    </row>
    <row r="213" spans="1:1" x14ac:dyDescent="0.2">
      <c r="A213" s="5"/>
    </row>
    <row r="214" spans="1:1" x14ac:dyDescent="0.2">
      <c r="A214" s="5"/>
    </row>
    <row r="215" spans="1:1" x14ac:dyDescent="0.2">
      <c r="A215" s="5"/>
    </row>
    <row r="216" spans="1:1" x14ac:dyDescent="0.2">
      <c r="A216" s="5"/>
    </row>
    <row r="217" spans="1:1" x14ac:dyDescent="0.2">
      <c r="A217" s="5"/>
    </row>
    <row r="218" spans="1:1" x14ac:dyDescent="0.2">
      <c r="A218" s="5"/>
    </row>
    <row r="219" spans="1:1" x14ac:dyDescent="0.2">
      <c r="A219" s="5"/>
    </row>
    <row r="220" spans="1:1" x14ac:dyDescent="0.2">
      <c r="A220" s="5"/>
    </row>
    <row r="221" spans="1:1" x14ac:dyDescent="0.2">
      <c r="A221" s="5"/>
    </row>
    <row r="222" spans="1:1" x14ac:dyDescent="0.2">
      <c r="A222" s="5"/>
    </row>
    <row r="223" spans="1:1" x14ac:dyDescent="0.2">
      <c r="A223" s="5"/>
    </row>
    <row r="224" spans="1:1" x14ac:dyDescent="0.2">
      <c r="A224" s="5"/>
    </row>
    <row r="225" spans="1:1" x14ac:dyDescent="0.2">
      <c r="A225" s="5"/>
    </row>
    <row r="226" spans="1:1" x14ac:dyDescent="0.2">
      <c r="A226" s="5"/>
    </row>
    <row r="227" spans="1:1" x14ac:dyDescent="0.2">
      <c r="A227" s="5"/>
    </row>
    <row r="228" spans="1:1" x14ac:dyDescent="0.2">
      <c r="A228" s="5"/>
    </row>
    <row r="229" spans="1:1" x14ac:dyDescent="0.2">
      <c r="A229" s="5"/>
    </row>
    <row r="230" spans="1:1" x14ac:dyDescent="0.2">
      <c r="A230" s="5"/>
    </row>
    <row r="231" spans="1:1" x14ac:dyDescent="0.2">
      <c r="A231" s="5"/>
    </row>
    <row r="232" spans="1:1" x14ac:dyDescent="0.2">
      <c r="A232" s="5"/>
    </row>
    <row r="233" spans="1:1" x14ac:dyDescent="0.2">
      <c r="A233" s="5"/>
    </row>
    <row r="234" spans="1:1" x14ac:dyDescent="0.2">
      <c r="A234" s="5"/>
    </row>
    <row r="235" spans="1:1" x14ac:dyDescent="0.2">
      <c r="A235" s="5"/>
    </row>
    <row r="236" spans="1:1" x14ac:dyDescent="0.2">
      <c r="A236" s="5"/>
    </row>
    <row r="237" spans="1:1" x14ac:dyDescent="0.2">
      <c r="A237" s="5"/>
    </row>
    <row r="238" spans="1:1" x14ac:dyDescent="0.2">
      <c r="A238" s="5"/>
    </row>
    <row r="239" spans="1:1" x14ac:dyDescent="0.2">
      <c r="A239" s="5"/>
    </row>
  </sheetData>
  <mergeCells count="1">
    <mergeCell ref="A5:E5"/>
  </mergeCells>
  <pageMargins left="0.74803149606299213" right="0.74803149606299213" top="0.98425196850393704" bottom="0.98425196850393704" header="0.51181102362204722" footer="0.51181102362204722"/>
  <pageSetup paperSize="9" scale="88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M41"/>
  <sheetViews>
    <sheetView workbookViewId="0">
      <selection activeCell="D19" sqref="D19"/>
    </sheetView>
  </sheetViews>
  <sheetFormatPr defaultColWidth="9.140625" defaultRowHeight="12.75" x14ac:dyDescent="0.2"/>
  <cols>
    <col min="1" max="1" width="9.140625" style="8" customWidth="1"/>
    <col min="2" max="9" width="12.7109375" style="5" customWidth="1"/>
    <col min="10" max="10" width="10.140625" style="5" bestFit="1" customWidth="1"/>
    <col min="11" max="13" width="9.140625" style="5"/>
    <col min="14" max="14" width="9.140625" style="5" customWidth="1"/>
    <col min="15" max="16384" width="9.140625" style="5"/>
  </cols>
  <sheetData>
    <row r="2" spans="1:13" x14ac:dyDescent="0.2">
      <c r="A2" s="8" t="s">
        <v>263</v>
      </c>
      <c r="B2" s="7"/>
      <c r="C2" s="7"/>
      <c r="D2" s="7"/>
      <c r="E2" s="7"/>
      <c r="F2" s="7"/>
      <c r="G2" s="7"/>
      <c r="H2" s="7"/>
      <c r="I2" s="7"/>
      <c r="J2" s="7"/>
    </row>
    <row r="3" spans="1:13" x14ac:dyDescent="0.2">
      <c r="A3" s="198" t="s">
        <v>38</v>
      </c>
    </row>
    <row r="4" spans="1:13" x14ac:dyDescent="0.2">
      <c r="A4" s="199"/>
      <c r="B4" s="9" t="s">
        <v>20</v>
      </c>
      <c r="C4" s="9" t="s">
        <v>34</v>
      </c>
      <c r="D4" s="9" t="s">
        <v>33</v>
      </c>
      <c r="E4" s="9" t="s">
        <v>23</v>
      </c>
      <c r="F4" s="9" t="s">
        <v>24</v>
      </c>
      <c r="G4" s="9" t="s">
        <v>92</v>
      </c>
      <c r="H4" s="9" t="s">
        <v>26</v>
      </c>
      <c r="I4" s="9" t="s">
        <v>93</v>
      </c>
      <c r="J4" s="9" t="s">
        <v>7</v>
      </c>
      <c r="M4" s="91"/>
    </row>
    <row r="5" spans="1:13" x14ac:dyDescent="0.2">
      <c r="A5" s="202" t="s">
        <v>149</v>
      </c>
      <c r="B5" s="202"/>
      <c r="C5" s="202"/>
      <c r="D5" s="202"/>
      <c r="E5" s="202"/>
      <c r="F5" s="202"/>
      <c r="G5" s="202"/>
      <c r="H5" s="202"/>
      <c r="I5" s="202"/>
      <c r="J5" s="202"/>
      <c r="L5" s="145"/>
      <c r="M5" s="94"/>
    </row>
    <row r="6" spans="1:13" x14ac:dyDescent="0.2">
      <c r="A6" s="26" t="s">
        <v>70</v>
      </c>
      <c r="B6" s="11">
        <v>237.608</v>
      </c>
      <c r="C6" s="11">
        <v>150.77000000000001</v>
      </c>
      <c r="D6" s="11">
        <v>116.941</v>
      </c>
      <c r="E6" s="11">
        <v>41.722000000000001</v>
      </c>
      <c r="F6" s="11">
        <v>64.129000000000005</v>
      </c>
      <c r="G6" s="11">
        <v>13.791</v>
      </c>
      <c r="H6" s="11">
        <v>7.2830000000000004</v>
      </c>
      <c r="I6" s="11">
        <v>12.718</v>
      </c>
      <c r="J6" s="11">
        <v>644.9620000000001</v>
      </c>
      <c r="K6" s="11"/>
      <c r="L6" s="145"/>
    </row>
    <row r="7" spans="1:13" x14ac:dyDescent="0.2">
      <c r="A7" s="26" t="s">
        <v>71</v>
      </c>
      <c r="B7" s="11">
        <v>230.101</v>
      </c>
      <c r="C7" s="11">
        <v>152.73500000000001</v>
      </c>
      <c r="D7" s="11">
        <v>117.099</v>
      </c>
      <c r="E7" s="11">
        <v>42.710999999999999</v>
      </c>
      <c r="F7" s="11">
        <v>64.441999999999993</v>
      </c>
      <c r="G7" s="11">
        <v>12.792999999999999</v>
      </c>
      <c r="H7" s="11">
        <v>7.46</v>
      </c>
      <c r="I7" s="11">
        <v>12.01</v>
      </c>
      <c r="J7" s="11">
        <v>639.351</v>
      </c>
      <c r="K7" s="11"/>
      <c r="L7" s="145"/>
    </row>
    <row r="8" spans="1:13" x14ac:dyDescent="0.2">
      <c r="A8" s="26" t="s">
        <v>72</v>
      </c>
      <c r="B8" s="11">
        <v>239.65899999999999</v>
      </c>
      <c r="C8" s="11">
        <v>164.26499999999999</v>
      </c>
      <c r="D8" s="11">
        <v>121.172</v>
      </c>
      <c r="E8" s="11">
        <v>42.98</v>
      </c>
      <c r="F8" s="11">
        <v>68.620999999999995</v>
      </c>
      <c r="G8" s="11">
        <v>13.903</v>
      </c>
      <c r="H8" s="11">
        <v>7.6139999999999999</v>
      </c>
      <c r="I8" s="11">
        <v>11.965999999999999</v>
      </c>
      <c r="J8" s="11">
        <v>670.18000000000006</v>
      </c>
      <c r="K8" s="11"/>
      <c r="L8" s="145"/>
    </row>
    <row r="9" spans="1:13" x14ac:dyDescent="0.2">
      <c r="A9" s="26" t="s">
        <v>73</v>
      </c>
      <c r="B9" s="11">
        <v>273.334</v>
      </c>
      <c r="C9" s="11">
        <v>193.09800000000001</v>
      </c>
      <c r="D9" s="11">
        <v>140.95599999999999</v>
      </c>
      <c r="E9" s="11">
        <v>51.015999999999998</v>
      </c>
      <c r="F9" s="11">
        <v>79.12</v>
      </c>
      <c r="G9" s="11">
        <v>15.492000000000001</v>
      </c>
      <c r="H9" s="11">
        <v>8.9049999999999994</v>
      </c>
      <c r="I9" s="11">
        <v>15.016999999999999</v>
      </c>
      <c r="J9" s="11">
        <v>776.93799999999999</v>
      </c>
      <c r="K9" s="11"/>
      <c r="L9" s="145"/>
    </row>
    <row r="10" spans="1:13" x14ac:dyDescent="0.2">
      <c r="A10" s="26" t="s">
        <v>74</v>
      </c>
      <c r="B10" s="11">
        <v>287.31</v>
      </c>
      <c r="C10" s="11">
        <v>207.74199999999999</v>
      </c>
      <c r="D10" s="11">
        <v>145.87700000000001</v>
      </c>
      <c r="E10" s="11">
        <v>50.67</v>
      </c>
      <c r="F10" s="11">
        <v>76.88</v>
      </c>
      <c r="G10" s="11">
        <v>14.492000000000001</v>
      </c>
      <c r="H10" s="11">
        <v>8.6050000000000004</v>
      </c>
      <c r="I10" s="11">
        <v>14.225</v>
      </c>
      <c r="J10" s="11">
        <v>805.80100000000004</v>
      </c>
      <c r="K10" s="11"/>
      <c r="L10" s="145"/>
    </row>
    <row r="11" spans="1:13" x14ac:dyDescent="0.2">
      <c r="A11" s="26" t="s">
        <v>75</v>
      </c>
      <c r="B11" s="11">
        <v>268.238</v>
      </c>
      <c r="C11" s="11">
        <v>195.47300000000001</v>
      </c>
      <c r="D11" s="11">
        <v>133.29900000000001</v>
      </c>
      <c r="E11" s="11">
        <v>44.292000000000002</v>
      </c>
      <c r="F11" s="11">
        <v>64.662000000000006</v>
      </c>
      <c r="G11" s="11">
        <v>13.944000000000001</v>
      </c>
      <c r="H11" s="11">
        <v>7.8520000000000003</v>
      </c>
      <c r="I11" s="11">
        <v>14.834</v>
      </c>
      <c r="J11" s="11">
        <v>742.59399999999994</v>
      </c>
      <c r="K11" s="11"/>
      <c r="L11" s="145"/>
    </row>
    <row r="12" spans="1:13" x14ac:dyDescent="0.2">
      <c r="A12" s="26" t="s">
        <v>76</v>
      </c>
      <c r="B12" s="11">
        <v>284.83499999999998</v>
      </c>
      <c r="C12" s="11">
        <v>224.42400000000001</v>
      </c>
      <c r="D12" s="11">
        <v>140.309</v>
      </c>
      <c r="E12" s="11">
        <v>49.588000000000001</v>
      </c>
      <c r="F12" s="11">
        <v>72.756</v>
      </c>
      <c r="G12" s="11">
        <v>14.637</v>
      </c>
      <c r="H12" s="11">
        <v>7.5250000000000004</v>
      </c>
      <c r="I12" s="11">
        <v>14.611000000000001</v>
      </c>
      <c r="J12" s="11">
        <v>808.68499999999995</v>
      </c>
      <c r="K12" s="11"/>
      <c r="L12" s="145"/>
    </row>
    <row r="13" spans="1:13" x14ac:dyDescent="0.2">
      <c r="A13" s="26" t="s">
        <v>77</v>
      </c>
      <c r="B13" s="11">
        <v>280.25200000000001</v>
      </c>
      <c r="C13" s="11">
        <v>221.19800000000001</v>
      </c>
      <c r="D13" s="11">
        <v>144.44499999999999</v>
      </c>
      <c r="E13" s="11">
        <v>50.756</v>
      </c>
      <c r="F13" s="11">
        <v>71.945999999999998</v>
      </c>
      <c r="G13" s="11">
        <v>14.762</v>
      </c>
      <c r="H13" s="11">
        <v>7.4989999999999997</v>
      </c>
      <c r="I13" s="11">
        <v>13.712999999999999</v>
      </c>
      <c r="J13" s="11">
        <v>804.57099999999991</v>
      </c>
      <c r="K13" s="11"/>
      <c r="L13" s="145"/>
    </row>
    <row r="14" spans="1:13" x14ac:dyDescent="0.2">
      <c r="A14" s="26" t="s">
        <v>78</v>
      </c>
      <c r="B14" s="11">
        <v>290.21199999999999</v>
      </c>
      <c r="C14" s="11">
        <v>234.751</v>
      </c>
      <c r="D14" s="11">
        <v>164.69499999999999</v>
      </c>
      <c r="E14" s="11">
        <v>56.61</v>
      </c>
      <c r="F14" s="11">
        <v>76.673000000000002</v>
      </c>
      <c r="G14" s="11">
        <v>15.401</v>
      </c>
      <c r="H14" s="11">
        <v>7.7439999999999998</v>
      </c>
      <c r="I14" s="11">
        <v>14.46</v>
      </c>
      <c r="J14" s="11">
        <v>860.54599999999994</v>
      </c>
      <c r="K14" s="11"/>
      <c r="L14" s="145"/>
    </row>
    <row r="15" spans="1:13" x14ac:dyDescent="0.2">
      <c r="A15" s="26" t="s">
        <v>79</v>
      </c>
      <c r="B15" s="11">
        <v>308.26600000000002</v>
      </c>
      <c r="C15" s="11">
        <v>246.74799999999999</v>
      </c>
      <c r="D15" s="11">
        <v>193.24600000000001</v>
      </c>
      <c r="E15" s="11">
        <v>63.106000000000002</v>
      </c>
      <c r="F15" s="11">
        <v>86.73</v>
      </c>
      <c r="G15" s="11">
        <v>18.777000000000001</v>
      </c>
      <c r="H15" s="11">
        <v>8.3970000000000002</v>
      </c>
      <c r="I15" s="11">
        <v>14.853999999999999</v>
      </c>
      <c r="J15" s="11">
        <v>940.12400000000014</v>
      </c>
      <c r="K15" s="11"/>
      <c r="L15" s="145"/>
    </row>
    <row r="16" spans="1:13" x14ac:dyDescent="0.2">
      <c r="A16" s="26" t="s">
        <v>80</v>
      </c>
      <c r="B16" s="11">
        <v>308.76299999999998</v>
      </c>
      <c r="C16" s="11">
        <v>256.33</v>
      </c>
      <c r="D16" s="11">
        <v>212.71600000000001</v>
      </c>
      <c r="E16" s="11">
        <v>64.135999999999996</v>
      </c>
      <c r="F16" s="11">
        <v>95.2</v>
      </c>
      <c r="G16" s="11">
        <v>20.611999999999998</v>
      </c>
      <c r="H16" s="11">
        <v>9.2949999999999999</v>
      </c>
      <c r="I16" s="11">
        <v>14.739000000000001</v>
      </c>
      <c r="J16" s="11">
        <v>981.79099999999994</v>
      </c>
      <c r="K16" s="11"/>
      <c r="L16" s="145"/>
    </row>
    <row r="17" spans="1:12" x14ac:dyDescent="0.2">
      <c r="A17" s="26" t="s">
        <v>81</v>
      </c>
      <c r="B17" s="11">
        <v>296.976</v>
      </c>
      <c r="C17" s="11">
        <v>250.18899999999999</v>
      </c>
      <c r="D17" s="11">
        <v>212.797</v>
      </c>
      <c r="E17" s="11">
        <v>62.423000000000002</v>
      </c>
      <c r="F17" s="11">
        <v>105.354</v>
      </c>
      <c r="G17" s="11">
        <v>19.576000000000001</v>
      </c>
      <c r="H17" s="11">
        <v>9.2949999999999999</v>
      </c>
      <c r="I17" s="11">
        <v>14.741</v>
      </c>
      <c r="J17" s="11">
        <v>971.351</v>
      </c>
      <c r="K17" s="11"/>
      <c r="L17" s="145"/>
    </row>
    <row r="18" spans="1:12" x14ac:dyDescent="0.2">
      <c r="A18" s="26" t="s">
        <v>82</v>
      </c>
      <c r="B18" s="11">
        <v>305.93299999999999</v>
      </c>
      <c r="C18" s="11">
        <v>252.52099999999999</v>
      </c>
      <c r="D18" s="11">
        <v>223.441</v>
      </c>
      <c r="E18" s="11">
        <v>60.752000000000002</v>
      </c>
      <c r="F18" s="11">
        <v>117.158</v>
      </c>
      <c r="G18" s="11">
        <v>18.808</v>
      </c>
      <c r="H18" s="11">
        <v>9.6750000000000007</v>
      </c>
      <c r="I18" s="11">
        <v>15.593999999999999</v>
      </c>
      <c r="J18" s="15">
        <v>1003.8819999999999</v>
      </c>
      <c r="K18" s="11"/>
      <c r="L18" s="145"/>
    </row>
    <row r="19" spans="1:12" x14ac:dyDescent="0.2">
      <c r="A19" s="26" t="s">
        <v>83</v>
      </c>
      <c r="B19" s="11">
        <v>323.67</v>
      </c>
      <c r="C19" s="11">
        <v>276.89100000000002</v>
      </c>
      <c r="D19" s="11">
        <v>233.68199999999999</v>
      </c>
      <c r="E19" s="11">
        <v>64.561000000000007</v>
      </c>
      <c r="F19" s="11">
        <v>122.514</v>
      </c>
      <c r="G19" s="11">
        <v>19.972000000000001</v>
      </c>
      <c r="H19" s="11">
        <v>10.465</v>
      </c>
      <c r="I19" s="11">
        <v>16.545999999999999</v>
      </c>
      <c r="J19" s="15">
        <v>1068.3010000000002</v>
      </c>
      <c r="K19" s="11"/>
      <c r="L19" s="145"/>
    </row>
    <row r="20" spans="1:12" x14ac:dyDescent="0.2">
      <c r="A20" s="26" t="s">
        <v>84</v>
      </c>
      <c r="B20" s="11">
        <v>280.55700000000002</v>
      </c>
      <c r="C20" s="11">
        <v>243.37799999999999</v>
      </c>
      <c r="D20" s="11">
        <v>194.08</v>
      </c>
      <c r="E20" s="11">
        <v>59.405999999999999</v>
      </c>
      <c r="F20" s="11">
        <v>105.333</v>
      </c>
      <c r="G20" s="11">
        <v>17.677</v>
      </c>
      <c r="H20" s="11">
        <v>9.3800000000000008</v>
      </c>
      <c r="I20" s="11">
        <v>14.882</v>
      </c>
      <c r="J20" s="15">
        <v>924.69299999999987</v>
      </c>
      <c r="K20" s="11"/>
      <c r="L20" s="145"/>
    </row>
    <row r="21" spans="1:12" x14ac:dyDescent="0.2">
      <c r="A21" s="26" t="s">
        <v>85</v>
      </c>
      <c r="B21" s="11">
        <v>309.19900000000001</v>
      </c>
      <c r="C21" s="11">
        <v>272.28899999999999</v>
      </c>
      <c r="D21" s="11">
        <v>210.99199999999999</v>
      </c>
      <c r="E21" s="11">
        <v>66.08</v>
      </c>
      <c r="F21" s="11">
        <v>110.256</v>
      </c>
      <c r="G21" s="11">
        <v>18.806999999999999</v>
      </c>
      <c r="H21" s="11">
        <v>9.923</v>
      </c>
      <c r="I21" s="11">
        <v>15.727</v>
      </c>
      <c r="J21" s="15">
        <v>1013.273</v>
      </c>
      <c r="K21" s="11"/>
      <c r="L21" s="145"/>
    </row>
    <row r="22" spans="1:12" x14ac:dyDescent="0.2">
      <c r="A22" s="26" t="s">
        <v>86</v>
      </c>
      <c r="B22" s="11">
        <v>310.56700000000001</v>
      </c>
      <c r="C22" s="11">
        <v>269.30599999999998</v>
      </c>
      <c r="D22" s="11">
        <v>202.73400000000001</v>
      </c>
      <c r="E22" s="11">
        <v>62.835999999999999</v>
      </c>
      <c r="F22" s="11">
        <v>111.587</v>
      </c>
      <c r="G22" s="11">
        <v>17.911000000000001</v>
      </c>
      <c r="H22" s="11">
        <v>9.9610000000000003</v>
      </c>
      <c r="I22" s="11">
        <v>15.74</v>
      </c>
      <c r="J22" s="15">
        <v>1000.6420000000001</v>
      </c>
      <c r="K22" s="11"/>
      <c r="L22" s="145"/>
    </row>
    <row r="23" spans="1:12" x14ac:dyDescent="0.2">
      <c r="A23" s="26" t="s">
        <v>87</v>
      </c>
      <c r="B23" s="11">
        <v>329.137</v>
      </c>
      <c r="C23" s="11">
        <v>280.197</v>
      </c>
      <c r="D23" s="11">
        <v>224.249</v>
      </c>
      <c r="E23" s="11">
        <v>65.34</v>
      </c>
      <c r="F23" s="11">
        <v>117.56399999999999</v>
      </c>
      <c r="G23" s="11">
        <v>16.13</v>
      </c>
      <c r="H23" s="11">
        <v>10.875999999999999</v>
      </c>
      <c r="I23" s="11">
        <v>16.562000000000001</v>
      </c>
      <c r="J23" s="15">
        <v>1060.0550000000001</v>
      </c>
      <c r="K23" s="11"/>
      <c r="L23" s="145"/>
    </row>
    <row r="24" spans="1:12" x14ac:dyDescent="0.2">
      <c r="A24" s="26" t="s">
        <v>27</v>
      </c>
      <c r="B24" s="11">
        <v>348.02699999999999</v>
      </c>
      <c r="C24" s="11">
        <v>302.26</v>
      </c>
      <c r="D24" s="11">
        <v>238.27199999999999</v>
      </c>
      <c r="E24" s="11">
        <v>70.268000000000001</v>
      </c>
      <c r="F24" s="11">
        <v>130.923</v>
      </c>
      <c r="G24" s="11">
        <v>18.745999999999999</v>
      </c>
      <c r="H24" s="11">
        <v>11.433999999999999</v>
      </c>
      <c r="I24" s="11">
        <v>17.959</v>
      </c>
      <c r="J24" s="15">
        <v>1137.8890000000001</v>
      </c>
      <c r="K24" s="11"/>
      <c r="L24" s="145"/>
    </row>
    <row r="25" spans="1:12" x14ac:dyDescent="0.2">
      <c r="A25" s="26" t="s">
        <v>28</v>
      </c>
      <c r="B25" s="11">
        <v>353.00400000000002</v>
      </c>
      <c r="C25" s="11">
        <v>304.536</v>
      </c>
      <c r="D25" s="11">
        <v>227.40899999999999</v>
      </c>
      <c r="E25" s="11">
        <v>70.073999999999998</v>
      </c>
      <c r="F25" s="11">
        <v>119.8</v>
      </c>
      <c r="G25" s="11">
        <v>18.856000000000002</v>
      </c>
      <c r="H25" s="11">
        <v>11.268000000000001</v>
      </c>
      <c r="I25" s="11">
        <v>17.52</v>
      </c>
      <c r="J25" s="15">
        <v>1122.4669999999999</v>
      </c>
      <c r="K25" s="11"/>
      <c r="L25" s="145"/>
    </row>
    <row r="26" spans="1:12" x14ac:dyDescent="0.2">
      <c r="A26" s="26" t="s">
        <v>29</v>
      </c>
      <c r="B26" s="11">
        <v>366.803</v>
      </c>
      <c r="C26" s="11">
        <v>308.72899999999998</v>
      </c>
      <c r="D26" s="11">
        <v>229.68100000000001</v>
      </c>
      <c r="E26" s="11">
        <v>69.262</v>
      </c>
      <c r="F26" s="11">
        <v>110.36799999999999</v>
      </c>
      <c r="G26" s="11">
        <v>18.279</v>
      </c>
      <c r="H26" s="11">
        <v>11.069000000000001</v>
      </c>
      <c r="I26" s="11">
        <v>17.515000000000001</v>
      </c>
      <c r="J26" s="15">
        <v>1131.7059999999999</v>
      </c>
      <c r="K26" s="11"/>
      <c r="L26" s="145"/>
    </row>
    <row r="27" spans="1:12" x14ac:dyDescent="0.2">
      <c r="A27" s="26" t="s">
        <v>30</v>
      </c>
      <c r="B27" s="11">
        <v>394.65100000000001</v>
      </c>
      <c r="C27" s="11">
        <v>321.16800000000001</v>
      </c>
      <c r="D27" s="11">
        <v>236.43799999999999</v>
      </c>
      <c r="E27" s="11">
        <v>70.381</v>
      </c>
      <c r="F27" s="11">
        <v>103.873</v>
      </c>
      <c r="G27" s="11">
        <v>19.442</v>
      </c>
      <c r="H27" s="11">
        <v>10.529</v>
      </c>
      <c r="I27" s="11">
        <v>18.638999999999999</v>
      </c>
      <c r="J27" s="15">
        <v>1175.1209999999999</v>
      </c>
      <c r="K27" s="11"/>
      <c r="L27" s="145"/>
    </row>
    <row r="28" spans="1:12" s="101" customFormat="1" x14ac:dyDescent="0.2">
      <c r="A28" s="46" t="s">
        <v>31</v>
      </c>
      <c r="B28" s="100">
        <v>397.28500000000003</v>
      </c>
      <c r="C28" s="100">
        <v>333.30900000000003</v>
      </c>
      <c r="D28" s="100">
        <v>231.21799999999999</v>
      </c>
      <c r="E28" s="100">
        <v>71.891000000000005</v>
      </c>
      <c r="F28" s="100">
        <v>96.533000000000001</v>
      </c>
      <c r="G28" s="100">
        <v>19.878</v>
      </c>
      <c r="H28" s="100">
        <v>10.724</v>
      </c>
      <c r="I28" s="100">
        <v>18.707000000000001</v>
      </c>
      <c r="J28" s="15">
        <v>1179.5449999999998</v>
      </c>
      <c r="K28" s="17"/>
      <c r="L28" s="145"/>
    </row>
    <row r="29" spans="1:12" s="101" customFormat="1" ht="13.5" thickBot="1" x14ac:dyDescent="0.25">
      <c r="A29" s="46" t="s">
        <v>32</v>
      </c>
      <c r="B29" s="102">
        <v>392.2921814</v>
      </c>
      <c r="C29" s="102">
        <v>344.79513129999992</v>
      </c>
      <c r="D29" s="102">
        <v>236.36720199999999</v>
      </c>
      <c r="E29" s="102">
        <v>72.119953600000002</v>
      </c>
      <c r="F29" s="102">
        <v>99.733934000000005</v>
      </c>
      <c r="G29" s="102">
        <v>20.247275000000002</v>
      </c>
      <c r="H29" s="102">
        <v>10.765913399999999</v>
      </c>
      <c r="I29" s="102">
        <v>18.7539084</v>
      </c>
      <c r="J29" s="56">
        <v>1195.086</v>
      </c>
      <c r="K29" s="17"/>
      <c r="L29" s="145"/>
    </row>
    <row r="30" spans="1:12" s="101" customFormat="1" ht="13.5" thickTop="1" x14ac:dyDescent="0.2">
      <c r="A30" s="46" t="s">
        <v>88</v>
      </c>
      <c r="B30" s="15">
        <v>352.31599999999997</v>
      </c>
      <c r="C30" s="15">
        <v>317.37</v>
      </c>
      <c r="D30" s="15">
        <v>222.215</v>
      </c>
      <c r="E30" s="15">
        <v>69.804000000000002</v>
      </c>
      <c r="F30" s="15">
        <v>93.926000000000002</v>
      </c>
      <c r="G30" s="15">
        <v>20.733000000000001</v>
      </c>
      <c r="H30" s="15">
        <v>9.36</v>
      </c>
      <c r="I30" s="15">
        <v>17.225999999999999</v>
      </c>
      <c r="J30" s="15">
        <v>1102.9499999999998</v>
      </c>
      <c r="K30" s="17"/>
      <c r="L30" s="145"/>
    </row>
    <row r="31" spans="1:12" s="101" customFormat="1" x14ac:dyDescent="0.2">
      <c r="A31" s="46" t="s">
        <v>89</v>
      </c>
      <c r="B31" s="15">
        <v>304.39999999999998</v>
      </c>
      <c r="C31" s="15">
        <v>267.47899999999998</v>
      </c>
      <c r="D31" s="15">
        <v>193.715</v>
      </c>
      <c r="E31" s="15">
        <v>60.53</v>
      </c>
      <c r="F31" s="15">
        <v>86.119</v>
      </c>
      <c r="G31" s="15">
        <v>17.710999999999999</v>
      </c>
      <c r="H31" s="15">
        <v>7.1779999999999999</v>
      </c>
      <c r="I31" s="15">
        <v>18.547000000000001</v>
      </c>
      <c r="J31" s="15">
        <v>955.67899999999997</v>
      </c>
      <c r="K31" s="17"/>
      <c r="L31" s="145"/>
    </row>
    <row r="32" spans="1:12" s="101" customFormat="1" x14ac:dyDescent="0.2">
      <c r="A32" s="46" t="s">
        <v>90</v>
      </c>
      <c r="B32" s="15">
        <v>345.15</v>
      </c>
      <c r="C32" s="15">
        <v>254.773</v>
      </c>
      <c r="D32" s="15">
        <v>228.52099999999999</v>
      </c>
      <c r="E32" s="15">
        <v>68.513000000000005</v>
      </c>
      <c r="F32" s="15">
        <v>106.252</v>
      </c>
      <c r="G32" s="15">
        <v>18.259</v>
      </c>
      <c r="H32" s="15">
        <v>9.4209999999999994</v>
      </c>
      <c r="I32" s="15">
        <v>17.933</v>
      </c>
      <c r="J32" s="15">
        <v>1048.8219999999999</v>
      </c>
      <c r="K32" s="17"/>
      <c r="L32" s="145"/>
    </row>
    <row r="33" spans="1:12" s="101" customFormat="1" x14ac:dyDescent="0.2">
      <c r="A33" s="46" t="s">
        <v>183</v>
      </c>
      <c r="B33" s="15">
        <v>318.41399999999999</v>
      </c>
      <c r="C33" s="15">
        <v>270.51499999999999</v>
      </c>
      <c r="D33" s="15">
        <v>223.351</v>
      </c>
      <c r="E33" s="15">
        <v>67.765000000000001</v>
      </c>
      <c r="F33" s="15">
        <v>103.327</v>
      </c>
      <c r="G33" s="15">
        <v>18.664000000000001</v>
      </c>
      <c r="H33" s="15">
        <v>9.8469999999999995</v>
      </c>
      <c r="I33" s="15">
        <v>15.435</v>
      </c>
      <c r="J33" s="15">
        <v>1027.318</v>
      </c>
      <c r="K33" s="17"/>
      <c r="L33" s="145"/>
    </row>
    <row r="34" spans="1:12" s="101" customFormat="1" x14ac:dyDescent="0.2">
      <c r="A34" s="46" t="s">
        <v>184</v>
      </c>
      <c r="B34" s="15">
        <v>346</v>
      </c>
      <c r="C34" s="15">
        <v>298.89999999999998</v>
      </c>
      <c r="D34" s="15">
        <v>248.5</v>
      </c>
      <c r="E34" s="15">
        <v>72</v>
      </c>
      <c r="F34" s="15">
        <v>113.6</v>
      </c>
      <c r="G34" s="15">
        <v>19.100000000000001</v>
      </c>
      <c r="H34" s="15">
        <v>9.9</v>
      </c>
      <c r="I34" s="15">
        <v>17.3</v>
      </c>
      <c r="J34" s="15">
        <v>1125.3</v>
      </c>
      <c r="K34" s="17"/>
      <c r="L34" s="145"/>
    </row>
    <row r="35" spans="1:12" s="101" customFormat="1" x14ac:dyDescent="0.2">
      <c r="A35" s="46" t="s">
        <v>209</v>
      </c>
      <c r="B35" s="15">
        <v>387.73899999999998</v>
      </c>
      <c r="C35" s="15">
        <v>344.74200000000002</v>
      </c>
      <c r="D35" s="15">
        <v>270.04500000000002</v>
      </c>
      <c r="E35" s="15">
        <v>82.997</v>
      </c>
      <c r="F35" s="15">
        <v>130.227</v>
      </c>
      <c r="G35" s="15">
        <v>22.027000000000001</v>
      </c>
      <c r="H35" s="15">
        <v>10.589</v>
      </c>
      <c r="I35" s="15">
        <v>19.067</v>
      </c>
      <c r="J35" s="15">
        <v>1267.4330000000002</v>
      </c>
      <c r="K35" s="17"/>
      <c r="L35" s="145"/>
    </row>
    <row r="36" spans="1:12" s="101" customFormat="1" x14ac:dyDescent="0.2">
      <c r="A36" s="28" t="s">
        <v>223</v>
      </c>
      <c r="B36" s="18">
        <v>362.983</v>
      </c>
      <c r="C36" s="18">
        <v>319.96800000000002</v>
      </c>
      <c r="D36" s="18">
        <v>258.65199999999999</v>
      </c>
      <c r="E36" s="18">
        <v>78.596000000000004</v>
      </c>
      <c r="F36" s="18">
        <v>130.48500000000001</v>
      </c>
      <c r="G36" s="18">
        <v>19.445</v>
      </c>
      <c r="H36" s="18">
        <v>10.329000000000001</v>
      </c>
      <c r="I36" s="18">
        <v>16.547999999999998</v>
      </c>
      <c r="J36" s="18">
        <v>1197.0060000000001</v>
      </c>
      <c r="K36" s="17"/>
      <c r="L36" s="145"/>
    </row>
    <row r="37" spans="1:12" s="101" customFormat="1" x14ac:dyDescent="0.2">
      <c r="A37" s="57" t="s">
        <v>205</v>
      </c>
      <c r="B37" s="15"/>
      <c r="C37" s="15"/>
      <c r="D37" s="15"/>
      <c r="E37" s="15"/>
      <c r="F37" s="15"/>
      <c r="G37" s="15"/>
      <c r="H37" s="15"/>
      <c r="I37" s="15"/>
      <c r="J37" s="15"/>
      <c r="K37" s="17"/>
    </row>
    <row r="38" spans="1:12" s="101" customFormat="1" x14ac:dyDescent="0.2">
      <c r="A38" s="8" t="s">
        <v>390</v>
      </c>
      <c r="B38" s="100"/>
      <c r="C38" s="100"/>
      <c r="D38" s="100"/>
      <c r="E38" s="100"/>
      <c r="F38" s="100"/>
      <c r="G38" s="100"/>
      <c r="H38" s="100"/>
      <c r="I38" s="100"/>
      <c r="J38" s="15"/>
      <c r="K38" s="17"/>
    </row>
    <row r="39" spans="1:12" x14ac:dyDescent="0.2">
      <c r="A39" s="5" t="s">
        <v>391</v>
      </c>
    </row>
    <row r="40" spans="1:12" x14ac:dyDescent="0.2">
      <c r="A40" s="153" t="s">
        <v>392</v>
      </c>
    </row>
    <row r="41" spans="1:12" x14ac:dyDescent="0.2">
      <c r="A41" s="153" t="s">
        <v>393</v>
      </c>
    </row>
  </sheetData>
  <mergeCells count="2">
    <mergeCell ref="A3:A4"/>
    <mergeCell ref="A5:J5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FDFD-5557-4D64-91BE-43CB2F00B158}">
  <dimension ref="A1:U523"/>
  <sheetViews>
    <sheetView topLeftCell="A58" zoomScale="85" zoomScaleNormal="85" workbookViewId="0">
      <selection activeCell="I69" sqref="I69"/>
    </sheetView>
  </sheetViews>
  <sheetFormatPr defaultColWidth="8.7109375" defaultRowHeight="12.75" x14ac:dyDescent="0.2"/>
  <cols>
    <col min="1" max="1" width="15.5703125" style="8" customWidth="1"/>
    <col min="2" max="10" width="12.7109375" style="5" customWidth="1"/>
    <col min="11" max="11" width="13.42578125" style="5" customWidth="1"/>
    <col min="12" max="12" width="10.7109375" style="5" bestFit="1" customWidth="1"/>
    <col min="13" max="13" width="28.42578125" style="5" bestFit="1" customWidth="1"/>
    <col min="14" max="16" width="12.7109375" style="5" customWidth="1"/>
    <col min="17" max="17" width="9.5703125" style="5" bestFit="1" customWidth="1"/>
    <col min="18" max="19" width="10.28515625" style="5" bestFit="1" customWidth="1"/>
    <col min="20" max="20" width="9.5703125" style="5" bestFit="1" customWidth="1"/>
    <col min="21" max="21" width="8.85546875" style="5" bestFit="1" customWidth="1"/>
    <col min="22" max="22" width="8.7109375" style="5"/>
    <col min="23" max="23" width="9.140625" style="5" bestFit="1" customWidth="1"/>
    <col min="24" max="16384" width="8.7109375" style="5"/>
  </cols>
  <sheetData>
    <row r="1" spans="1:13" x14ac:dyDescent="0.2">
      <c r="A1" s="4"/>
    </row>
    <row r="2" spans="1:13" x14ac:dyDescent="0.2">
      <c r="A2" s="8" t="s">
        <v>254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x14ac:dyDescent="0.2">
      <c r="A3" s="206" t="s">
        <v>154</v>
      </c>
      <c r="B3" s="208" t="s">
        <v>224</v>
      </c>
      <c r="C3" s="208"/>
      <c r="D3" s="208"/>
      <c r="E3" s="208"/>
      <c r="F3" s="208"/>
      <c r="G3" s="208"/>
      <c r="H3" s="208"/>
      <c r="I3" s="208"/>
      <c r="J3" s="208"/>
      <c r="K3" s="208"/>
      <c r="L3" s="9"/>
    </row>
    <row r="4" spans="1:13" x14ac:dyDescent="0.2">
      <c r="A4" s="207"/>
      <c r="B4" s="9" t="s">
        <v>225</v>
      </c>
      <c r="C4" s="9" t="s">
        <v>226</v>
      </c>
      <c r="D4" s="9" t="s">
        <v>227</v>
      </c>
      <c r="E4" s="9" t="s">
        <v>228</v>
      </c>
      <c r="F4" s="9" t="s">
        <v>229</v>
      </c>
      <c r="G4" s="9" t="s">
        <v>230</v>
      </c>
      <c r="H4" s="9" t="s">
        <v>231</v>
      </c>
      <c r="I4" s="9" t="s">
        <v>232</v>
      </c>
      <c r="J4" s="9" t="s">
        <v>233</v>
      </c>
      <c r="K4" s="9" t="s">
        <v>7</v>
      </c>
      <c r="L4" s="11"/>
      <c r="M4" s="11"/>
    </row>
    <row r="5" spans="1:13" x14ac:dyDescent="0.2">
      <c r="A5" s="123" t="s">
        <v>155</v>
      </c>
      <c r="B5" s="84"/>
      <c r="C5" s="124"/>
      <c r="D5" s="124"/>
      <c r="E5" s="124"/>
      <c r="F5" s="124"/>
      <c r="G5" s="124"/>
      <c r="H5" s="124"/>
      <c r="I5" s="124"/>
      <c r="J5" s="124"/>
      <c r="K5" s="124"/>
      <c r="M5" s="11"/>
    </row>
    <row r="6" spans="1:13" x14ac:dyDescent="0.2">
      <c r="A6" s="26" t="s">
        <v>156</v>
      </c>
      <c r="B6" s="125">
        <v>136254</v>
      </c>
      <c r="C6" s="125">
        <v>186532</v>
      </c>
      <c r="D6" s="125">
        <v>208155</v>
      </c>
      <c r="E6" s="125">
        <v>457993</v>
      </c>
      <c r="F6" s="125">
        <v>456544</v>
      </c>
      <c r="G6" s="125">
        <v>400051</v>
      </c>
      <c r="H6" s="125">
        <v>283479</v>
      </c>
      <c r="I6" s="125">
        <v>139556</v>
      </c>
      <c r="J6" s="125">
        <v>46758</v>
      </c>
      <c r="K6" s="125">
        <v>2315322</v>
      </c>
      <c r="L6" s="125"/>
      <c r="M6" s="11"/>
    </row>
    <row r="7" spans="1:13" x14ac:dyDescent="0.2">
      <c r="A7" s="26" t="s">
        <v>157</v>
      </c>
      <c r="B7" s="125">
        <v>137008</v>
      </c>
      <c r="C7" s="125">
        <v>193069</v>
      </c>
      <c r="D7" s="125">
        <v>212912</v>
      </c>
      <c r="E7" s="125">
        <v>460906</v>
      </c>
      <c r="F7" s="125">
        <v>463234</v>
      </c>
      <c r="G7" s="125">
        <v>410543</v>
      </c>
      <c r="H7" s="125">
        <v>296446</v>
      </c>
      <c r="I7" s="125">
        <v>144943</v>
      </c>
      <c r="J7" s="125">
        <v>50676</v>
      </c>
      <c r="K7" s="125">
        <v>2369737</v>
      </c>
      <c r="L7" s="125"/>
      <c r="M7" s="11"/>
    </row>
    <row r="8" spans="1:13" x14ac:dyDescent="0.2">
      <c r="A8" s="26" t="s">
        <v>158</v>
      </c>
      <c r="B8" s="125">
        <v>137689</v>
      </c>
      <c r="C8" s="125">
        <v>197443</v>
      </c>
      <c r="D8" s="125">
        <v>215084</v>
      </c>
      <c r="E8" s="125">
        <v>461701</v>
      </c>
      <c r="F8" s="125">
        <v>469189</v>
      </c>
      <c r="G8" s="125">
        <v>421116</v>
      </c>
      <c r="H8" s="125">
        <v>309668</v>
      </c>
      <c r="I8" s="125">
        <v>152765</v>
      </c>
      <c r="J8" s="125">
        <v>53743</v>
      </c>
      <c r="K8" s="125">
        <v>2418398</v>
      </c>
      <c r="L8" s="125"/>
      <c r="M8" s="11"/>
    </row>
    <row r="9" spans="1:13" x14ac:dyDescent="0.2">
      <c r="A9" s="26" t="s">
        <v>159</v>
      </c>
      <c r="B9" s="125">
        <v>139198</v>
      </c>
      <c r="C9" s="125">
        <v>198294</v>
      </c>
      <c r="D9" s="125">
        <v>214947</v>
      </c>
      <c r="E9" s="125">
        <v>465003</v>
      </c>
      <c r="F9" s="125">
        <v>472387</v>
      </c>
      <c r="G9" s="125">
        <v>430366</v>
      </c>
      <c r="H9" s="125">
        <v>323208</v>
      </c>
      <c r="I9" s="125">
        <v>160449</v>
      </c>
      <c r="J9" s="125">
        <v>56239</v>
      </c>
      <c r="K9" s="125">
        <v>2460091</v>
      </c>
      <c r="L9" s="125"/>
      <c r="M9" s="11"/>
    </row>
    <row r="10" spans="1:13" x14ac:dyDescent="0.2">
      <c r="A10" s="26" t="s">
        <v>160</v>
      </c>
      <c r="B10" s="125">
        <v>140367</v>
      </c>
      <c r="C10" s="125">
        <v>199350</v>
      </c>
      <c r="D10" s="125">
        <v>216933</v>
      </c>
      <c r="E10" s="125">
        <v>471747</v>
      </c>
      <c r="F10" s="125">
        <v>475479</v>
      </c>
      <c r="G10" s="125">
        <v>438574</v>
      </c>
      <c r="H10" s="125">
        <v>333489</v>
      </c>
      <c r="I10" s="125">
        <v>170423</v>
      </c>
      <c r="J10" s="125">
        <v>58377</v>
      </c>
      <c r="K10" s="125">
        <v>2504739</v>
      </c>
      <c r="L10" s="125"/>
      <c r="M10" s="126"/>
    </row>
    <row r="11" spans="1:13" x14ac:dyDescent="0.2">
      <c r="A11" s="26" t="s">
        <v>161</v>
      </c>
      <c r="B11" s="125">
        <v>141662</v>
      </c>
      <c r="C11" s="125">
        <v>201665</v>
      </c>
      <c r="D11" s="125">
        <v>221972</v>
      </c>
      <c r="E11" s="125">
        <v>481869</v>
      </c>
      <c r="F11" s="125">
        <v>481264</v>
      </c>
      <c r="G11" s="125">
        <v>444563</v>
      </c>
      <c r="H11" s="125">
        <v>343801</v>
      </c>
      <c r="I11" s="125">
        <v>180209</v>
      </c>
      <c r="J11" s="125">
        <v>60713</v>
      </c>
      <c r="K11" s="125">
        <v>2557718</v>
      </c>
      <c r="L11" s="125"/>
      <c r="M11" s="126"/>
    </row>
    <row r="12" spans="1:13" x14ac:dyDescent="0.2">
      <c r="A12" s="26" t="s">
        <v>162</v>
      </c>
      <c r="B12" s="125">
        <v>143365</v>
      </c>
      <c r="C12" s="125">
        <v>201936</v>
      </c>
      <c r="D12" s="125">
        <v>226743</v>
      </c>
      <c r="E12" s="125">
        <v>491897</v>
      </c>
      <c r="F12" s="125">
        <v>485894</v>
      </c>
      <c r="G12" s="125">
        <v>447972</v>
      </c>
      <c r="H12" s="125">
        <v>354081</v>
      </c>
      <c r="I12" s="125">
        <v>189642</v>
      </c>
      <c r="J12" s="125">
        <v>64035</v>
      </c>
      <c r="K12" s="125">
        <v>2605565</v>
      </c>
      <c r="L12" s="125"/>
      <c r="M12" s="126"/>
    </row>
    <row r="13" spans="1:13" x14ac:dyDescent="0.2">
      <c r="A13" s="26" t="s">
        <v>163</v>
      </c>
      <c r="B13" s="125">
        <v>144158</v>
      </c>
      <c r="C13" s="125">
        <v>203730</v>
      </c>
      <c r="D13" s="125">
        <v>231063</v>
      </c>
      <c r="E13" s="125">
        <v>504518</v>
      </c>
      <c r="F13" s="125">
        <v>489871</v>
      </c>
      <c r="G13" s="125">
        <v>450863</v>
      </c>
      <c r="H13" s="125">
        <v>360249</v>
      </c>
      <c r="I13" s="125">
        <v>205145</v>
      </c>
      <c r="J13" s="125">
        <v>67670</v>
      </c>
      <c r="K13" s="125">
        <v>2657267</v>
      </c>
      <c r="L13" s="125"/>
      <c r="M13" s="126"/>
    </row>
    <row r="14" spans="1:13" x14ac:dyDescent="0.2">
      <c r="A14" s="26" t="s">
        <v>164</v>
      </c>
      <c r="B14" s="125">
        <v>146703</v>
      </c>
      <c r="C14" s="125">
        <v>204585</v>
      </c>
      <c r="D14" s="125">
        <v>233564</v>
      </c>
      <c r="E14" s="125">
        <v>515560</v>
      </c>
      <c r="F14" s="125">
        <v>493287</v>
      </c>
      <c r="G14" s="125">
        <v>452663</v>
      </c>
      <c r="H14" s="125">
        <v>368437</v>
      </c>
      <c r="I14" s="125">
        <v>217945</v>
      </c>
      <c r="J14" s="125">
        <v>71186</v>
      </c>
      <c r="K14" s="125">
        <v>2703930</v>
      </c>
      <c r="L14" s="125"/>
      <c r="M14" s="126"/>
    </row>
    <row r="15" spans="1:13" x14ac:dyDescent="0.2">
      <c r="A15" s="26" t="s">
        <v>165</v>
      </c>
      <c r="B15" s="125">
        <v>146100</v>
      </c>
      <c r="C15" s="125">
        <v>204934</v>
      </c>
      <c r="D15" s="125">
        <v>235004</v>
      </c>
      <c r="E15" s="125">
        <v>525714</v>
      </c>
      <c r="F15" s="125">
        <v>494383</v>
      </c>
      <c r="G15" s="125">
        <v>455762</v>
      </c>
      <c r="H15" s="125">
        <v>376230</v>
      </c>
      <c r="I15" s="125">
        <v>228831</v>
      </c>
      <c r="J15" s="125">
        <v>74841</v>
      </c>
      <c r="K15" s="125">
        <v>2741799</v>
      </c>
      <c r="L15" s="125"/>
      <c r="M15" s="126"/>
    </row>
    <row r="16" spans="1:13" x14ac:dyDescent="0.2">
      <c r="A16" s="26" t="s">
        <v>166</v>
      </c>
      <c r="B16" s="125">
        <v>145362</v>
      </c>
      <c r="C16" s="125">
        <v>205146</v>
      </c>
      <c r="D16" s="125">
        <v>234777</v>
      </c>
      <c r="E16" s="125">
        <v>532347</v>
      </c>
      <c r="F16" s="125">
        <v>495704</v>
      </c>
      <c r="G16" s="125">
        <v>457434</v>
      </c>
      <c r="H16" s="125">
        <v>380069</v>
      </c>
      <c r="I16" s="125">
        <v>234621</v>
      </c>
      <c r="J16" s="125">
        <v>76223</v>
      </c>
      <c r="K16" s="125">
        <v>2761683</v>
      </c>
      <c r="L16" s="125"/>
      <c r="M16" s="11"/>
    </row>
    <row r="17" spans="1:21" x14ac:dyDescent="0.2">
      <c r="A17" s="26" t="s">
        <v>168</v>
      </c>
      <c r="B17" s="125">
        <v>148692</v>
      </c>
      <c r="C17" s="119">
        <v>209726</v>
      </c>
      <c r="D17" s="119">
        <v>237919</v>
      </c>
      <c r="E17" s="119">
        <v>547953</v>
      </c>
      <c r="F17" s="119">
        <v>500041</v>
      </c>
      <c r="G17" s="119">
        <v>463169</v>
      </c>
      <c r="H17" s="119">
        <v>392804</v>
      </c>
      <c r="I17" s="119">
        <v>250226</v>
      </c>
      <c r="J17" s="119">
        <v>81753</v>
      </c>
      <c r="K17" s="125">
        <v>2832283</v>
      </c>
      <c r="L17" s="125"/>
      <c r="M17" s="11"/>
      <c r="N17" s="11"/>
      <c r="O17" s="11"/>
    </row>
    <row r="18" spans="1:21" x14ac:dyDescent="0.2">
      <c r="A18" s="26" t="s">
        <v>195</v>
      </c>
      <c r="B18" s="125">
        <v>150262</v>
      </c>
      <c r="C18" s="119">
        <v>210957</v>
      </c>
      <c r="D18" s="119">
        <v>238305</v>
      </c>
      <c r="E18" s="119">
        <v>553612</v>
      </c>
      <c r="F18" s="119">
        <v>505578</v>
      </c>
      <c r="G18" s="119">
        <v>470636</v>
      </c>
      <c r="H18" s="119">
        <v>405012</v>
      </c>
      <c r="I18" s="119">
        <v>270862</v>
      </c>
      <c r="J18" s="119">
        <v>103237</v>
      </c>
      <c r="K18" s="119">
        <v>2908461</v>
      </c>
      <c r="L18" s="125"/>
      <c r="M18" s="127"/>
      <c r="N18" s="127"/>
      <c r="O18" s="127"/>
      <c r="P18" s="127"/>
      <c r="Q18" s="127"/>
      <c r="R18" s="127"/>
      <c r="S18" s="127"/>
      <c r="T18" s="127"/>
      <c r="U18" s="127"/>
    </row>
    <row r="19" spans="1:21" x14ac:dyDescent="0.2">
      <c r="A19" s="26" t="s">
        <v>196</v>
      </c>
      <c r="B19" s="128">
        <v>155276</v>
      </c>
      <c r="C19" s="128">
        <v>212868</v>
      </c>
      <c r="D19" s="128">
        <v>240555</v>
      </c>
      <c r="E19" s="128">
        <v>558605</v>
      </c>
      <c r="F19" s="128">
        <v>512166</v>
      </c>
      <c r="G19" s="128">
        <v>473053</v>
      </c>
      <c r="H19" s="119">
        <v>411616</v>
      </c>
      <c r="I19" s="128">
        <v>279774</v>
      </c>
      <c r="J19" s="128">
        <v>108246</v>
      </c>
      <c r="K19" s="128">
        <v>2952159</v>
      </c>
      <c r="L19" s="125"/>
      <c r="M19" s="11"/>
      <c r="N19" s="11"/>
      <c r="O19" s="11"/>
    </row>
    <row r="20" spans="1:21" ht="13.5" thickBot="1" x14ac:dyDescent="0.25">
      <c r="A20" s="26" t="s">
        <v>210</v>
      </c>
      <c r="B20" s="156">
        <v>161512</v>
      </c>
      <c r="C20" s="156">
        <v>215936</v>
      </c>
      <c r="D20" s="156">
        <v>245605</v>
      </c>
      <c r="E20" s="156">
        <v>564586</v>
      </c>
      <c r="F20" s="156">
        <v>521052</v>
      </c>
      <c r="G20" s="156">
        <v>476210</v>
      </c>
      <c r="H20" s="156">
        <v>419205</v>
      </c>
      <c r="I20" s="156">
        <v>288559</v>
      </c>
      <c r="J20" s="156">
        <v>116577</v>
      </c>
      <c r="K20" s="156">
        <v>3009242</v>
      </c>
      <c r="L20" s="125"/>
      <c r="M20" s="11"/>
      <c r="N20" s="11"/>
      <c r="O20" s="11"/>
    </row>
    <row r="21" spans="1:21" ht="13.5" thickTop="1" x14ac:dyDescent="0.2">
      <c r="A21" s="26" t="s">
        <v>222</v>
      </c>
      <c r="B21" s="128">
        <v>167526.76606835134</v>
      </c>
      <c r="C21" s="128">
        <v>223776.23393164866</v>
      </c>
      <c r="D21" s="158">
        <v>256124</v>
      </c>
      <c r="E21" s="158">
        <v>581047</v>
      </c>
      <c r="F21" s="128">
        <v>540062</v>
      </c>
      <c r="G21" s="128">
        <v>488038</v>
      </c>
      <c r="H21" s="128">
        <v>426091</v>
      </c>
      <c r="I21" s="128">
        <v>292172</v>
      </c>
      <c r="J21" s="128">
        <v>106132</v>
      </c>
      <c r="K21" s="128">
        <v>3080969</v>
      </c>
      <c r="L21" s="125"/>
      <c r="M21" s="11"/>
      <c r="N21" s="11"/>
      <c r="O21" s="11"/>
    </row>
    <row r="22" spans="1:21" x14ac:dyDescent="0.2">
      <c r="A22" s="19" t="s">
        <v>167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1"/>
      <c r="M22" s="11"/>
      <c r="N22" s="11"/>
      <c r="O22" s="11"/>
    </row>
    <row r="23" spans="1:21" x14ac:dyDescent="0.2">
      <c r="A23" s="26" t="s">
        <v>156</v>
      </c>
      <c r="B23" s="119">
        <v>144248</v>
      </c>
      <c r="C23" s="119">
        <v>191066</v>
      </c>
      <c r="D23" s="119">
        <v>210538</v>
      </c>
      <c r="E23" s="119">
        <v>461910</v>
      </c>
      <c r="F23" s="119">
        <v>472941</v>
      </c>
      <c r="G23" s="119">
        <v>427968</v>
      </c>
      <c r="H23" s="119">
        <v>325847</v>
      </c>
      <c r="I23" s="119">
        <v>174314</v>
      </c>
      <c r="J23" s="119">
        <v>67336</v>
      </c>
      <c r="K23" s="119">
        <v>2476168</v>
      </c>
      <c r="L23" s="125"/>
      <c r="M23" s="11"/>
      <c r="N23" s="11"/>
      <c r="O23" s="11"/>
    </row>
    <row r="24" spans="1:21" x14ac:dyDescent="0.2">
      <c r="A24" s="26" t="s">
        <v>157</v>
      </c>
      <c r="B24" s="119">
        <v>144838</v>
      </c>
      <c r="C24" s="119">
        <v>197014</v>
      </c>
      <c r="D24" s="119">
        <v>214158</v>
      </c>
      <c r="E24" s="119">
        <v>465444</v>
      </c>
      <c r="F24" s="119">
        <v>477713</v>
      </c>
      <c r="G24" s="119">
        <v>436375</v>
      </c>
      <c r="H24" s="119">
        <v>337695</v>
      </c>
      <c r="I24" s="119">
        <v>179275</v>
      </c>
      <c r="J24" s="119">
        <v>71439</v>
      </c>
      <c r="K24" s="119">
        <v>2523951</v>
      </c>
      <c r="L24" s="125"/>
      <c r="M24" s="11"/>
      <c r="N24" s="11"/>
      <c r="O24" s="11"/>
    </row>
    <row r="25" spans="1:21" x14ac:dyDescent="0.2">
      <c r="A25" s="26" t="s">
        <v>158</v>
      </c>
      <c r="B25" s="119">
        <v>144815</v>
      </c>
      <c r="C25" s="119">
        <v>201827</v>
      </c>
      <c r="D25" s="119">
        <v>215802</v>
      </c>
      <c r="E25" s="119">
        <v>466699</v>
      </c>
      <c r="F25" s="119">
        <v>481561</v>
      </c>
      <c r="G25" s="119">
        <v>446717</v>
      </c>
      <c r="H25" s="119">
        <v>348551</v>
      </c>
      <c r="I25" s="119">
        <v>186071</v>
      </c>
      <c r="J25" s="119">
        <v>74532</v>
      </c>
      <c r="K25" s="119">
        <v>2566575</v>
      </c>
      <c r="L25" s="125"/>
      <c r="M25" s="11"/>
      <c r="N25" s="11"/>
      <c r="O25" s="11"/>
    </row>
    <row r="26" spans="1:21" x14ac:dyDescent="0.2">
      <c r="A26" s="26" t="s">
        <v>159</v>
      </c>
      <c r="B26" s="119">
        <v>144415</v>
      </c>
      <c r="C26" s="119">
        <v>202781</v>
      </c>
      <c r="D26" s="119">
        <v>215411</v>
      </c>
      <c r="E26" s="119">
        <v>470168</v>
      </c>
      <c r="F26" s="119">
        <v>482750</v>
      </c>
      <c r="G26" s="119">
        <v>455140</v>
      </c>
      <c r="H26" s="119">
        <v>360292</v>
      </c>
      <c r="I26" s="119">
        <v>192797</v>
      </c>
      <c r="J26" s="119">
        <v>76917</v>
      </c>
      <c r="K26" s="119">
        <v>2600671</v>
      </c>
      <c r="L26" s="125"/>
      <c r="M26" s="11"/>
      <c r="N26" s="11"/>
      <c r="O26" s="11"/>
    </row>
    <row r="27" spans="1:21" x14ac:dyDescent="0.2">
      <c r="A27" s="26" t="s">
        <v>160</v>
      </c>
      <c r="B27" s="119">
        <v>144666</v>
      </c>
      <c r="C27" s="119">
        <v>202942</v>
      </c>
      <c r="D27" s="119">
        <v>217932</v>
      </c>
      <c r="E27" s="119">
        <v>476857</v>
      </c>
      <c r="F27" s="119">
        <v>483801</v>
      </c>
      <c r="G27" s="119">
        <v>462110</v>
      </c>
      <c r="H27" s="119">
        <v>368163</v>
      </c>
      <c r="I27" s="119">
        <v>202195</v>
      </c>
      <c r="J27" s="119">
        <v>78991</v>
      </c>
      <c r="K27" s="119">
        <v>2637657</v>
      </c>
      <c r="L27" s="125"/>
      <c r="M27" s="11"/>
      <c r="N27" s="11"/>
      <c r="O27" s="11"/>
    </row>
    <row r="28" spans="1:21" x14ac:dyDescent="0.2">
      <c r="A28" s="26" t="s">
        <v>161</v>
      </c>
      <c r="B28" s="119">
        <v>145142</v>
      </c>
      <c r="C28" s="119">
        <v>205116</v>
      </c>
      <c r="D28" s="119">
        <v>223392</v>
      </c>
      <c r="E28" s="119">
        <v>488552</v>
      </c>
      <c r="F28" s="119">
        <v>489526</v>
      </c>
      <c r="G28" s="119">
        <v>467314</v>
      </c>
      <c r="H28" s="119">
        <v>376425</v>
      </c>
      <c r="I28" s="119">
        <v>211174</v>
      </c>
      <c r="J28" s="119">
        <v>81355</v>
      </c>
      <c r="K28" s="119">
        <v>2687996</v>
      </c>
      <c r="L28" s="125"/>
      <c r="M28" s="11"/>
      <c r="N28" s="11"/>
      <c r="O28" s="11"/>
    </row>
    <row r="29" spans="1:21" x14ac:dyDescent="0.2">
      <c r="A29" s="26" t="s">
        <v>162</v>
      </c>
      <c r="B29" s="119">
        <v>146098</v>
      </c>
      <c r="C29" s="119">
        <v>206049</v>
      </c>
      <c r="D29" s="119">
        <v>228090</v>
      </c>
      <c r="E29" s="119">
        <v>500233</v>
      </c>
      <c r="F29" s="119">
        <v>492494</v>
      </c>
      <c r="G29" s="119">
        <v>469627</v>
      </c>
      <c r="H29" s="119">
        <v>384945</v>
      </c>
      <c r="I29" s="119">
        <v>220383</v>
      </c>
      <c r="J29" s="119">
        <v>84385</v>
      </c>
      <c r="K29" s="119">
        <v>2732304</v>
      </c>
      <c r="L29" s="125"/>
      <c r="M29" s="11"/>
    </row>
    <row r="30" spans="1:21" x14ac:dyDescent="0.2">
      <c r="A30" s="26" t="s">
        <v>163</v>
      </c>
      <c r="B30" s="119">
        <v>147304</v>
      </c>
      <c r="C30" s="119">
        <v>207878</v>
      </c>
      <c r="D30" s="119">
        <v>233721</v>
      </c>
      <c r="E30" s="119">
        <v>513477</v>
      </c>
      <c r="F30" s="119">
        <v>496518</v>
      </c>
      <c r="G30" s="119">
        <v>471420</v>
      </c>
      <c r="H30" s="119">
        <v>388287</v>
      </c>
      <c r="I30" s="119">
        <v>235740</v>
      </c>
      <c r="J30" s="119">
        <v>87983</v>
      </c>
      <c r="K30" s="119">
        <v>2782328</v>
      </c>
      <c r="L30" s="125"/>
      <c r="M30" s="11"/>
    </row>
    <row r="31" spans="1:21" x14ac:dyDescent="0.2">
      <c r="A31" s="26" t="s">
        <v>164</v>
      </c>
      <c r="B31" s="119">
        <v>149144</v>
      </c>
      <c r="C31" s="119">
        <v>209002</v>
      </c>
      <c r="D31" s="119">
        <v>237852</v>
      </c>
      <c r="E31" s="119">
        <v>524602</v>
      </c>
      <c r="F31" s="119">
        <v>500347</v>
      </c>
      <c r="G31" s="119">
        <v>471429</v>
      </c>
      <c r="H31" s="119">
        <v>393167</v>
      </c>
      <c r="I31" s="119">
        <v>248106</v>
      </c>
      <c r="J31" s="119">
        <v>91469</v>
      </c>
      <c r="K31" s="119">
        <v>2825118</v>
      </c>
      <c r="L31" s="125"/>
      <c r="M31" s="11"/>
    </row>
    <row r="32" spans="1:21" x14ac:dyDescent="0.2">
      <c r="A32" s="26" t="s">
        <v>165</v>
      </c>
      <c r="B32" s="119">
        <v>149146</v>
      </c>
      <c r="C32" s="119">
        <v>211456</v>
      </c>
      <c r="D32" s="119">
        <v>241483</v>
      </c>
      <c r="E32" s="119">
        <v>534957</v>
      </c>
      <c r="F32" s="119">
        <v>503105</v>
      </c>
      <c r="G32" s="119">
        <v>472224</v>
      </c>
      <c r="H32" s="119">
        <v>398954</v>
      </c>
      <c r="I32" s="119">
        <v>258102</v>
      </c>
      <c r="J32" s="119">
        <v>94788</v>
      </c>
      <c r="K32" s="125">
        <v>2864215</v>
      </c>
      <c r="L32" s="125"/>
      <c r="M32" s="11"/>
    </row>
    <row r="33" spans="1:14" x14ac:dyDescent="0.2">
      <c r="A33" s="26" t="s">
        <v>166</v>
      </c>
      <c r="B33" s="119">
        <v>149594</v>
      </c>
      <c r="C33" s="119">
        <v>212151</v>
      </c>
      <c r="D33" s="119">
        <v>243677</v>
      </c>
      <c r="E33" s="119">
        <v>541750</v>
      </c>
      <c r="F33" s="119">
        <v>505083</v>
      </c>
      <c r="G33" s="119">
        <v>473756</v>
      </c>
      <c r="H33" s="119">
        <v>401424</v>
      </c>
      <c r="I33" s="119">
        <v>262687</v>
      </c>
      <c r="J33" s="119">
        <v>96367</v>
      </c>
      <c r="K33" s="125">
        <v>2886489</v>
      </c>
      <c r="L33" s="125"/>
      <c r="M33" s="11"/>
    </row>
    <row r="34" spans="1:14" x14ac:dyDescent="0.2">
      <c r="A34" s="26" t="s">
        <v>168</v>
      </c>
      <c r="B34" s="119">
        <v>153123</v>
      </c>
      <c r="C34" s="119">
        <v>216686</v>
      </c>
      <c r="D34" s="119">
        <v>245600</v>
      </c>
      <c r="E34" s="119">
        <v>551680</v>
      </c>
      <c r="F34" s="119">
        <v>510624</v>
      </c>
      <c r="G34" s="119">
        <v>476125</v>
      </c>
      <c r="H34" s="119">
        <v>410908</v>
      </c>
      <c r="I34" s="119">
        <v>276285</v>
      </c>
      <c r="J34" s="119">
        <v>102390</v>
      </c>
      <c r="K34" s="125">
        <v>2943421</v>
      </c>
      <c r="L34" s="125"/>
      <c r="M34" s="11"/>
    </row>
    <row r="35" spans="1:14" x14ac:dyDescent="0.2">
      <c r="A35" s="26" t="s">
        <v>195</v>
      </c>
      <c r="B35" s="119">
        <v>157645</v>
      </c>
      <c r="C35" s="119">
        <v>221653</v>
      </c>
      <c r="D35" s="119">
        <v>250350</v>
      </c>
      <c r="E35" s="119">
        <v>562177</v>
      </c>
      <c r="F35" s="119">
        <v>520646</v>
      </c>
      <c r="G35" s="119">
        <v>484585</v>
      </c>
      <c r="H35" s="119">
        <v>425643</v>
      </c>
      <c r="I35" s="119">
        <v>298886</v>
      </c>
      <c r="J35" s="119">
        <v>129966</v>
      </c>
      <c r="K35" s="119">
        <v>3051551</v>
      </c>
      <c r="L35" s="125"/>
      <c r="M35" s="11"/>
    </row>
    <row r="36" spans="1:14" x14ac:dyDescent="0.2">
      <c r="A36" s="26" t="s">
        <v>196</v>
      </c>
      <c r="B36" s="130">
        <v>165089</v>
      </c>
      <c r="C36" s="130">
        <v>227016</v>
      </c>
      <c r="D36" s="130">
        <v>254410</v>
      </c>
      <c r="E36" s="130">
        <v>567796</v>
      </c>
      <c r="F36" s="130">
        <v>527996</v>
      </c>
      <c r="G36" s="130">
        <v>484962</v>
      </c>
      <c r="H36" s="130">
        <v>430051</v>
      </c>
      <c r="I36" s="130">
        <v>302444</v>
      </c>
      <c r="J36" s="130">
        <v>128234</v>
      </c>
      <c r="K36" s="130">
        <v>3087998</v>
      </c>
      <c r="L36" s="125"/>
      <c r="M36" s="11"/>
    </row>
    <row r="37" spans="1:14" ht="13.5" thickBot="1" x14ac:dyDescent="0.25">
      <c r="A37" s="26" t="s">
        <v>210</v>
      </c>
      <c r="B37" s="157">
        <v>172182</v>
      </c>
      <c r="C37" s="157">
        <v>236109</v>
      </c>
      <c r="D37" s="157">
        <v>263885</v>
      </c>
      <c r="E37" s="157">
        <v>577743</v>
      </c>
      <c r="F37" s="157">
        <v>538377</v>
      </c>
      <c r="G37" s="157">
        <v>486454</v>
      </c>
      <c r="H37" s="157">
        <v>437167</v>
      </c>
      <c r="I37" s="157">
        <v>309618</v>
      </c>
      <c r="J37" s="157">
        <v>135449</v>
      </c>
      <c r="K37" s="157">
        <v>3156984</v>
      </c>
      <c r="L37" s="125"/>
      <c r="M37" s="11"/>
    </row>
    <row r="38" spans="1:14" ht="13.5" thickTop="1" x14ac:dyDescent="0.2">
      <c r="A38" s="26" t="s">
        <v>222</v>
      </c>
      <c r="B38" s="130">
        <v>179065.83455025952</v>
      </c>
      <c r="C38" s="130">
        <v>255091.16544974048</v>
      </c>
      <c r="D38" s="130">
        <v>281024</v>
      </c>
      <c r="E38" s="130">
        <v>606239</v>
      </c>
      <c r="F38" s="130">
        <v>562734</v>
      </c>
      <c r="G38" s="130">
        <v>495056</v>
      </c>
      <c r="H38" s="130">
        <v>438995</v>
      </c>
      <c r="I38" s="130">
        <v>314909</v>
      </c>
      <c r="J38" s="130">
        <v>136490</v>
      </c>
      <c r="K38" s="130">
        <v>3269604</v>
      </c>
      <c r="L38" s="125"/>
      <c r="M38" s="11"/>
    </row>
    <row r="39" spans="1:14" x14ac:dyDescent="0.2">
      <c r="A39" s="19" t="s">
        <v>234</v>
      </c>
      <c r="B39" s="119"/>
      <c r="C39" s="119"/>
      <c r="D39" s="119"/>
      <c r="E39" s="131"/>
      <c r="F39" s="132"/>
      <c r="G39" s="119"/>
      <c r="H39" s="119"/>
      <c r="I39" s="119"/>
      <c r="J39" s="119"/>
      <c r="K39" s="119"/>
      <c r="L39" s="11"/>
      <c r="M39" s="11"/>
    </row>
    <row r="40" spans="1:14" x14ac:dyDescent="0.2">
      <c r="A40" s="26" t="s">
        <v>156</v>
      </c>
      <c r="B40" s="119">
        <v>280502</v>
      </c>
      <c r="C40" s="119">
        <v>377598</v>
      </c>
      <c r="D40" s="119">
        <v>418693</v>
      </c>
      <c r="E40" s="119">
        <v>919903</v>
      </c>
      <c r="F40" s="119">
        <v>929485</v>
      </c>
      <c r="G40" s="119">
        <v>828019</v>
      </c>
      <c r="H40" s="119">
        <v>609326</v>
      </c>
      <c r="I40" s="119">
        <v>313870</v>
      </c>
      <c r="J40" s="119">
        <v>114094</v>
      </c>
      <c r="K40" s="119">
        <v>4791490</v>
      </c>
      <c r="L40" s="121"/>
      <c r="M40" s="11"/>
      <c r="N40" s="148"/>
    </row>
    <row r="41" spans="1:14" x14ac:dyDescent="0.2">
      <c r="A41" s="26" t="s">
        <v>157</v>
      </c>
      <c r="B41" s="119">
        <v>281846</v>
      </c>
      <c r="C41" s="119">
        <v>390083</v>
      </c>
      <c r="D41" s="119">
        <v>427070</v>
      </c>
      <c r="E41" s="119">
        <v>926350</v>
      </c>
      <c r="F41" s="119">
        <v>940947</v>
      </c>
      <c r="G41" s="119">
        <v>846918</v>
      </c>
      <c r="H41" s="119">
        <v>634141</v>
      </c>
      <c r="I41" s="119">
        <v>324218</v>
      </c>
      <c r="J41" s="119">
        <v>122115</v>
      </c>
      <c r="K41" s="119">
        <v>4893688</v>
      </c>
      <c r="L41" s="121"/>
      <c r="M41" s="11"/>
      <c r="N41" s="148"/>
    </row>
    <row r="42" spans="1:14" x14ac:dyDescent="0.2">
      <c r="A42" s="26" t="s">
        <v>158</v>
      </c>
      <c r="B42" s="119">
        <v>282504</v>
      </c>
      <c r="C42" s="119">
        <v>399270</v>
      </c>
      <c r="D42" s="119">
        <v>430886</v>
      </c>
      <c r="E42" s="119">
        <v>928400</v>
      </c>
      <c r="F42" s="119">
        <v>950750</v>
      </c>
      <c r="G42" s="119">
        <v>867833</v>
      </c>
      <c r="H42" s="119">
        <v>658219</v>
      </c>
      <c r="I42" s="119">
        <v>338836</v>
      </c>
      <c r="J42" s="119">
        <v>128275</v>
      </c>
      <c r="K42" s="119">
        <v>4984973</v>
      </c>
      <c r="L42" s="121"/>
      <c r="M42" s="11"/>
      <c r="N42" s="148"/>
    </row>
    <row r="43" spans="1:14" x14ac:dyDescent="0.2">
      <c r="A43" s="26" t="s">
        <v>159</v>
      </c>
      <c r="B43" s="119">
        <v>283613</v>
      </c>
      <c r="C43" s="119">
        <v>401075</v>
      </c>
      <c r="D43" s="119">
        <v>430358</v>
      </c>
      <c r="E43" s="119">
        <v>935171</v>
      </c>
      <c r="F43" s="119">
        <v>955137</v>
      </c>
      <c r="G43" s="119">
        <v>885506</v>
      </c>
      <c r="H43" s="119">
        <v>683500</v>
      </c>
      <c r="I43" s="119">
        <v>353246</v>
      </c>
      <c r="J43" s="119">
        <v>133156</v>
      </c>
      <c r="K43" s="119">
        <v>5060762</v>
      </c>
      <c r="L43" s="121"/>
      <c r="M43" s="11"/>
      <c r="N43" s="148"/>
    </row>
    <row r="44" spans="1:14" x14ac:dyDescent="0.2">
      <c r="A44" s="26" t="s">
        <v>160</v>
      </c>
      <c r="B44" s="119">
        <v>285033</v>
      </c>
      <c r="C44" s="119">
        <v>402292</v>
      </c>
      <c r="D44" s="119">
        <v>434865</v>
      </c>
      <c r="E44" s="119">
        <v>948604</v>
      </c>
      <c r="F44" s="119">
        <v>959280</v>
      </c>
      <c r="G44" s="119">
        <v>900684</v>
      </c>
      <c r="H44" s="119">
        <v>701652</v>
      </c>
      <c r="I44" s="119">
        <v>372618</v>
      </c>
      <c r="J44" s="119">
        <v>137368</v>
      </c>
      <c r="K44" s="119">
        <v>5142396</v>
      </c>
      <c r="L44" s="121"/>
      <c r="M44" s="11"/>
      <c r="N44" s="148"/>
    </row>
    <row r="45" spans="1:14" x14ac:dyDescent="0.2">
      <c r="A45" s="26" t="s">
        <v>161</v>
      </c>
      <c r="B45" s="119">
        <v>286804</v>
      </c>
      <c r="C45" s="119">
        <v>406781</v>
      </c>
      <c r="D45" s="119">
        <v>445364</v>
      </c>
      <c r="E45" s="119">
        <v>970421</v>
      </c>
      <c r="F45" s="119">
        <v>970801</v>
      </c>
      <c r="G45" s="119">
        <v>911892</v>
      </c>
      <c r="H45" s="119">
        <v>720235</v>
      </c>
      <c r="I45" s="119">
        <v>391388</v>
      </c>
      <c r="J45" s="119">
        <v>142069</v>
      </c>
      <c r="K45" s="119">
        <v>5245755</v>
      </c>
      <c r="L45" s="121"/>
      <c r="M45" s="11"/>
      <c r="N45" s="148"/>
    </row>
    <row r="46" spans="1:14" x14ac:dyDescent="0.2">
      <c r="A46" s="26" t="s">
        <v>162</v>
      </c>
      <c r="B46" s="119">
        <v>289463</v>
      </c>
      <c r="C46" s="119">
        <v>407985</v>
      </c>
      <c r="D46" s="119">
        <v>454833</v>
      </c>
      <c r="E46" s="119">
        <v>992130</v>
      </c>
      <c r="F46" s="119">
        <v>978408</v>
      </c>
      <c r="G46" s="119">
        <v>917622</v>
      </c>
      <c r="H46" s="119">
        <v>739051</v>
      </c>
      <c r="I46" s="119">
        <v>410034</v>
      </c>
      <c r="J46" s="119">
        <v>148421</v>
      </c>
      <c r="K46" s="119">
        <v>5337947</v>
      </c>
      <c r="L46" s="121"/>
      <c r="M46" s="11"/>
      <c r="N46" s="148"/>
    </row>
    <row r="47" spans="1:14" x14ac:dyDescent="0.2">
      <c r="A47" s="26" t="s">
        <v>163</v>
      </c>
      <c r="B47" s="119">
        <v>291462</v>
      </c>
      <c r="C47" s="119">
        <v>411608</v>
      </c>
      <c r="D47" s="119">
        <v>464784</v>
      </c>
      <c r="E47" s="119">
        <v>1017995</v>
      </c>
      <c r="F47" s="119">
        <v>986418</v>
      </c>
      <c r="G47" s="119">
        <v>922331</v>
      </c>
      <c r="H47" s="119">
        <v>748559</v>
      </c>
      <c r="I47" s="119">
        <v>440900</v>
      </c>
      <c r="J47" s="119">
        <v>155654</v>
      </c>
      <c r="K47" s="119">
        <v>5439711</v>
      </c>
      <c r="L47" s="121"/>
      <c r="M47" s="11"/>
      <c r="N47" s="148"/>
    </row>
    <row r="48" spans="1:14" x14ac:dyDescent="0.2">
      <c r="A48" s="26" t="s">
        <v>164</v>
      </c>
      <c r="B48" s="119">
        <v>295847</v>
      </c>
      <c r="C48" s="119">
        <v>413587</v>
      </c>
      <c r="D48" s="119">
        <v>471416</v>
      </c>
      <c r="E48" s="119">
        <v>1040162</v>
      </c>
      <c r="F48" s="119">
        <v>993656</v>
      </c>
      <c r="G48" s="119">
        <v>924156</v>
      </c>
      <c r="H48" s="119">
        <v>761634</v>
      </c>
      <c r="I48" s="119">
        <v>466067</v>
      </c>
      <c r="J48" s="119">
        <v>162660</v>
      </c>
      <c r="K48" s="119">
        <v>5529185</v>
      </c>
      <c r="L48" s="121"/>
      <c r="M48" s="11"/>
      <c r="N48" s="148"/>
    </row>
    <row r="49" spans="1:15" x14ac:dyDescent="0.2">
      <c r="A49" s="26" t="s">
        <v>165</v>
      </c>
      <c r="B49" s="119">
        <v>295246</v>
      </c>
      <c r="C49" s="119">
        <v>416390</v>
      </c>
      <c r="D49" s="119">
        <v>476487</v>
      </c>
      <c r="E49" s="119">
        <v>1060671</v>
      </c>
      <c r="F49" s="119">
        <v>997503</v>
      </c>
      <c r="G49" s="119">
        <v>928063</v>
      </c>
      <c r="H49" s="119">
        <v>775230</v>
      </c>
      <c r="I49" s="119">
        <v>486952</v>
      </c>
      <c r="J49" s="119">
        <v>169633</v>
      </c>
      <c r="K49" s="125">
        <v>5606175</v>
      </c>
      <c r="L49" s="121"/>
      <c r="M49" s="11"/>
      <c r="N49" s="148"/>
    </row>
    <row r="50" spans="1:15" x14ac:dyDescent="0.2">
      <c r="A50" s="26" t="s">
        <v>166</v>
      </c>
      <c r="B50" s="119">
        <v>294956</v>
      </c>
      <c r="C50" s="119">
        <v>417297</v>
      </c>
      <c r="D50" s="119">
        <v>478454</v>
      </c>
      <c r="E50" s="119">
        <v>1074097</v>
      </c>
      <c r="F50" s="119">
        <v>1000800</v>
      </c>
      <c r="G50" s="119">
        <v>931260</v>
      </c>
      <c r="H50" s="119">
        <v>781544</v>
      </c>
      <c r="I50" s="119">
        <v>497326</v>
      </c>
      <c r="J50" s="119">
        <v>172593</v>
      </c>
      <c r="K50" s="119">
        <v>5648327</v>
      </c>
      <c r="L50" s="121"/>
      <c r="M50" s="11"/>
      <c r="N50" s="148"/>
    </row>
    <row r="51" spans="1:15" x14ac:dyDescent="0.2">
      <c r="A51" s="26" t="s">
        <v>168</v>
      </c>
      <c r="B51" s="119">
        <v>301815</v>
      </c>
      <c r="C51" s="119">
        <v>426412</v>
      </c>
      <c r="D51" s="119">
        <v>483519</v>
      </c>
      <c r="E51" s="119">
        <v>1099633</v>
      </c>
      <c r="F51" s="119">
        <v>1010670</v>
      </c>
      <c r="G51" s="119">
        <v>939385</v>
      </c>
      <c r="H51" s="119">
        <v>803775</v>
      </c>
      <c r="I51" s="119">
        <v>526533</v>
      </c>
      <c r="J51" s="119">
        <v>184147</v>
      </c>
      <c r="K51" s="119">
        <v>5775889</v>
      </c>
      <c r="L51" s="121"/>
      <c r="M51" s="11"/>
      <c r="N51" s="148"/>
    </row>
    <row r="52" spans="1:15" x14ac:dyDescent="0.2">
      <c r="A52" s="26" t="s">
        <v>195</v>
      </c>
      <c r="B52" s="125">
        <v>307908</v>
      </c>
      <c r="C52" s="125">
        <v>432610</v>
      </c>
      <c r="D52" s="125">
        <v>488658</v>
      </c>
      <c r="E52" s="125">
        <v>1115792</v>
      </c>
      <c r="F52" s="125">
        <v>1026229</v>
      </c>
      <c r="G52" s="125">
        <v>955302</v>
      </c>
      <c r="H52" s="125">
        <v>830732</v>
      </c>
      <c r="I52" s="125">
        <v>569775</v>
      </c>
      <c r="J52" s="125">
        <v>233210</v>
      </c>
      <c r="K52" s="125">
        <v>5960216</v>
      </c>
      <c r="L52" s="121"/>
      <c r="M52" s="11"/>
      <c r="N52" s="148"/>
    </row>
    <row r="53" spans="1:15" x14ac:dyDescent="0.2">
      <c r="A53" s="26" t="s">
        <v>196</v>
      </c>
      <c r="B53" s="130">
        <v>320366</v>
      </c>
      <c r="C53" s="130">
        <v>439886</v>
      </c>
      <c r="D53" s="130">
        <v>494966</v>
      </c>
      <c r="E53" s="130">
        <v>1126407</v>
      </c>
      <c r="F53" s="130">
        <v>1040169</v>
      </c>
      <c r="G53" s="130">
        <v>958083</v>
      </c>
      <c r="H53" s="130">
        <v>841753</v>
      </c>
      <c r="I53" s="130">
        <v>582242</v>
      </c>
      <c r="J53" s="130">
        <v>236486</v>
      </c>
      <c r="K53" s="130">
        <v>6040358</v>
      </c>
      <c r="L53" s="121"/>
      <c r="M53" s="11"/>
      <c r="N53" s="148"/>
    </row>
    <row r="54" spans="1:15" ht="13.5" thickBot="1" x14ac:dyDescent="0.25">
      <c r="A54" s="26" t="s">
        <v>210</v>
      </c>
      <c r="B54" s="157">
        <v>333694</v>
      </c>
      <c r="C54" s="157">
        <v>452045</v>
      </c>
      <c r="D54" s="157">
        <v>509490</v>
      </c>
      <c r="E54" s="157">
        <v>1142329</v>
      </c>
      <c r="F54" s="157">
        <v>1059429</v>
      </c>
      <c r="G54" s="157">
        <v>962664</v>
      </c>
      <c r="H54" s="157">
        <v>856372</v>
      </c>
      <c r="I54" s="157">
        <v>598177</v>
      </c>
      <c r="J54" s="157">
        <v>252026</v>
      </c>
      <c r="K54" s="157">
        <v>6166226</v>
      </c>
      <c r="L54" s="121"/>
      <c r="M54" s="11"/>
      <c r="N54" s="148"/>
    </row>
    <row r="55" spans="1:15" ht="13.5" thickTop="1" x14ac:dyDescent="0.2">
      <c r="A55" s="30" t="s">
        <v>222</v>
      </c>
      <c r="B55" s="159">
        <v>346592.60061861086</v>
      </c>
      <c r="C55" s="159">
        <v>478867.39938138914</v>
      </c>
      <c r="D55" s="159">
        <v>537149</v>
      </c>
      <c r="E55" s="159">
        <v>1187297</v>
      </c>
      <c r="F55" s="159">
        <v>1102803</v>
      </c>
      <c r="G55" s="159">
        <v>983142</v>
      </c>
      <c r="H55" s="159">
        <v>865204</v>
      </c>
      <c r="I55" s="159">
        <v>607104</v>
      </c>
      <c r="J55" s="159">
        <v>242632</v>
      </c>
      <c r="K55" s="159">
        <v>6350791</v>
      </c>
      <c r="L55" s="121"/>
      <c r="M55" s="129"/>
      <c r="N55" s="148"/>
      <c r="O55" s="118"/>
    </row>
    <row r="56" spans="1:15" x14ac:dyDescent="0.2">
      <c r="A56" s="26" t="s">
        <v>307</v>
      </c>
      <c r="B56" s="125"/>
      <c r="C56" s="125"/>
      <c r="D56" s="125"/>
      <c r="L56" s="11"/>
      <c r="M56" s="11"/>
    </row>
    <row r="57" spans="1:15" x14ac:dyDescent="0.2">
      <c r="A57" s="5" t="s">
        <v>310</v>
      </c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1"/>
      <c r="M57" s="11"/>
    </row>
    <row r="58" spans="1:15" x14ac:dyDescent="0.2">
      <c r="A58" s="19" t="s">
        <v>244</v>
      </c>
      <c r="L58" s="11"/>
      <c r="M58" s="11"/>
    </row>
    <row r="59" spans="1:15" x14ac:dyDescent="0.2">
      <c r="A59" s="26"/>
      <c r="L59" s="11"/>
      <c r="M59" s="11"/>
    </row>
    <row r="60" spans="1:15" x14ac:dyDescent="0.2">
      <c r="A60" s="5"/>
      <c r="L60" s="11"/>
      <c r="M60" s="11"/>
    </row>
    <row r="61" spans="1:15" x14ac:dyDescent="0.2">
      <c r="A61" s="8" t="s">
        <v>255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11"/>
      <c r="M61" s="11"/>
    </row>
    <row r="62" spans="1:15" x14ac:dyDescent="0.2">
      <c r="A62" s="206" t="s">
        <v>154</v>
      </c>
      <c r="B62" s="208" t="s">
        <v>224</v>
      </c>
      <c r="C62" s="208"/>
      <c r="D62" s="208"/>
      <c r="E62" s="208"/>
      <c r="F62" s="208"/>
      <c r="G62" s="208"/>
      <c r="H62" s="208"/>
      <c r="I62" s="208"/>
      <c r="J62" s="208"/>
      <c r="K62" s="208"/>
      <c r="M62" s="11"/>
    </row>
    <row r="63" spans="1:15" x14ac:dyDescent="0.2">
      <c r="A63" s="209"/>
      <c r="B63" s="9" t="s">
        <v>225</v>
      </c>
      <c r="C63" s="9" t="s">
        <v>226</v>
      </c>
      <c r="D63" s="9" t="s">
        <v>227</v>
      </c>
      <c r="E63" s="9" t="s">
        <v>228</v>
      </c>
      <c r="F63" s="9" t="s">
        <v>229</v>
      </c>
      <c r="G63" s="9" t="s">
        <v>230</v>
      </c>
      <c r="H63" s="9" t="s">
        <v>231</v>
      </c>
      <c r="I63" s="9" t="s">
        <v>232</v>
      </c>
      <c r="J63" s="9" t="s">
        <v>233</v>
      </c>
      <c r="K63" s="9" t="s">
        <v>7</v>
      </c>
      <c r="M63" s="11"/>
    </row>
    <row r="64" spans="1:15" x14ac:dyDescent="0.2">
      <c r="A64" s="123" t="s">
        <v>155</v>
      </c>
      <c r="B64" s="84"/>
      <c r="C64" s="124"/>
      <c r="D64" s="124"/>
      <c r="E64" s="124"/>
      <c r="F64" s="124"/>
      <c r="G64" s="124"/>
      <c r="H64" s="124"/>
      <c r="I64" s="124"/>
      <c r="J64" s="124"/>
      <c r="K64" s="124"/>
      <c r="L64" s="125"/>
      <c r="M64" s="11"/>
    </row>
    <row r="65" spans="1:14" x14ac:dyDescent="0.2">
      <c r="A65" s="26" t="s">
        <v>156</v>
      </c>
      <c r="B65" s="125">
        <v>107699</v>
      </c>
      <c r="C65" s="125">
        <v>167949</v>
      </c>
      <c r="D65" s="125">
        <v>185030</v>
      </c>
      <c r="E65" s="125">
        <v>383814</v>
      </c>
      <c r="F65" s="125">
        <v>379942</v>
      </c>
      <c r="G65" s="125">
        <v>323517</v>
      </c>
      <c r="H65" s="125">
        <v>225482</v>
      </c>
      <c r="I65" s="125">
        <v>113917</v>
      </c>
      <c r="J65" s="125">
        <v>53530</v>
      </c>
      <c r="K65" s="125">
        <v>1940880</v>
      </c>
      <c r="L65" s="121">
        <f>K65-SUM(B65:J65)</f>
        <v>0</v>
      </c>
      <c r="M65" s="11"/>
    </row>
    <row r="66" spans="1:14" x14ac:dyDescent="0.2">
      <c r="A66" s="26" t="s">
        <v>157</v>
      </c>
      <c r="B66" s="125">
        <v>107718</v>
      </c>
      <c r="C66" s="125">
        <v>170829</v>
      </c>
      <c r="D66" s="125">
        <v>189697</v>
      </c>
      <c r="E66" s="125">
        <v>383649</v>
      </c>
      <c r="F66" s="125">
        <v>386840</v>
      </c>
      <c r="G66" s="125">
        <v>330975</v>
      </c>
      <c r="H66" s="125">
        <v>237310</v>
      </c>
      <c r="I66" s="125">
        <v>118398</v>
      </c>
      <c r="J66" s="125">
        <v>57282</v>
      </c>
      <c r="K66" s="125">
        <v>1982698</v>
      </c>
      <c r="L66" s="121">
        <f t="shared" ref="L66:L80" si="0">K66-SUM(B66:J66)</f>
        <v>0</v>
      </c>
    </row>
    <row r="67" spans="1:14" x14ac:dyDescent="0.2">
      <c r="A67" s="26" t="s">
        <v>158</v>
      </c>
      <c r="B67" s="125">
        <v>106561</v>
      </c>
      <c r="C67" s="125">
        <v>172828</v>
      </c>
      <c r="D67" s="125">
        <v>193490</v>
      </c>
      <c r="E67" s="125">
        <v>387392</v>
      </c>
      <c r="F67" s="125">
        <v>393330</v>
      </c>
      <c r="G67" s="125">
        <v>338903</v>
      </c>
      <c r="H67" s="125">
        <v>247450</v>
      </c>
      <c r="I67" s="125">
        <v>124303</v>
      </c>
      <c r="J67" s="125">
        <v>57363</v>
      </c>
      <c r="K67" s="125">
        <v>2021620</v>
      </c>
      <c r="L67" s="121">
        <f t="shared" si="0"/>
        <v>0</v>
      </c>
    </row>
    <row r="68" spans="1:14" x14ac:dyDescent="0.2">
      <c r="A68" s="26" t="s">
        <v>159</v>
      </c>
      <c r="B68" s="125">
        <v>105888</v>
      </c>
      <c r="C68" s="125">
        <v>173604</v>
      </c>
      <c r="D68" s="125">
        <v>197944</v>
      </c>
      <c r="E68" s="125">
        <v>397253</v>
      </c>
      <c r="F68" s="125">
        <v>399368</v>
      </c>
      <c r="G68" s="125">
        <v>347912</v>
      </c>
      <c r="H68" s="125">
        <v>260558</v>
      </c>
      <c r="I68" s="125">
        <v>130354</v>
      </c>
      <c r="J68" s="125">
        <v>59060</v>
      </c>
      <c r="K68" s="125">
        <v>2071941</v>
      </c>
      <c r="L68" s="121">
        <f t="shared" si="0"/>
        <v>0</v>
      </c>
    </row>
    <row r="69" spans="1:14" x14ac:dyDescent="0.2">
      <c r="A69" s="26" t="s">
        <v>160</v>
      </c>
      <c r="B69" s="125">
        <v>105605</v>
      </c>
      <c r="C69" s="125">
        <v>174835</v>
      </c>
      <c r="D69" s="125">
        <v>201073</v>
      </c>
      <c r="E69" s="125">
        <v>406378</v>
      </c>
      <c r="F69" s="125">
        <v>403234</v>
      </c>
      <c r="G69" s="125">
        <v>354991</v>
      </c>
      <c r="H69" s="125">
        <v>269879</v>
      </c>
      <c r="I69" s="125">
        <v>138019</v>
      </c>
      <c r="J69" s="125">
        <v>59905</v>
      </c>
      <c r="K69" s="125">
        <v>2113919</v>
      </c>
      <c r="L69" s="121">
        <f t="shared" si="0"/>
        <v>0</v>
      </c>
    </row>
    <row r="70" spans="1:14" x14ac:dyDescent="0.2">
      <c r="A70" s="26" t="s">
        <v>161</v>
      </c>
      <c r="B70" s="125">
        <v>105444</v>
      </c>
      <c r="C70" s="125">
        <v>175998</v>
      </c>
      <c r="D70" s="125">
        <v>204668</v>
      </c>
      <c r="E70" s="125">
        <v>416987</v>
      </c>
      <c r="F70" s="125">
        <v>407574</v>
      </c>
      <c r="G70" s="125">
        <v>360248</v>
      </c>
      <c r="H70" s="125">
        <v>278850</v>
      </c>
      <c r="I70" s="125">
        <v>145692</v>
      </c>
      <c r="J70" s="125">
        <v>57662</v>
      </c>
      <c r="K70" s="125">
        <v>2153123</v>
      </c>
      <c r="L70" s="121">
        <f t="shared" si="0"/>
        <v>0</v>
      </c>
      <c r="N70" s="11"/>
    </row>
    <row r="71" spans="1:14" x14ac:dyDescent="0.2">
      <c r="A71" s="26" t="s">
        <v>162</v>
      </c>
      <c r="B71" s="125">
        <v>106409</v>
      </c>
      <c r="C71" s="125">
        <v>176253</v>
      </c>
      <c r="D71" s="125">
        <v>208208</v>
      </c>
      <c r="E71" s="125">
        <v>429888</v>
      </c>
      <c r="F71" s="125">
        <v>411209</v>
      </c>
      <c r="G71" s="125">
        <v>365510</v>
      </c>
      <c r="H71" s="125">
        <v>288206</v>
      </c>
      <c r="I71" s="125">
        <v>153949</v>
      </c>
      <c r="J71" s="125">
        <v>60292</v>
      </c>
      <c r="K71" s="125">
        <v>2199924</v>
      </c>
      <c r="L71" s="121">
        <f t="shared" si="0"/>
        <v>0</v>
      </c>
    </row>
    <row r="72" spans="1:14" x14ac:dyDescent="0.2">
      <c r="A72" s="26" t="s">
        <v>163</v>
      </c>
      <c r="B72" s="125">
        <v>106698</v>
      </c>
      <c r="C72" s="125">
        <v>177817</v>
      </c>
      <c r="D72" s="125">
        <v>210174</v>
      </c>
      <c r="E72" s="125">
        <v>442985</v>
      </c>
      <c r="F72" s="125">
        <v>415074</v>
      </c>
      <c r="G72" s="125">
        <v>369933</v>
      </c>
      <c r="H72" s="125">
        <v>293085</v>
      </c>
      <c r="I72" s="125">
        <v>167705</v>
      </c>
      <c r="J72" s="125">
        <v>64190</v>
      </c>
      <c r="K72" s="125">
        <v>2247661</v>
      </c>
      <c r="L72" s="121">
        <f t="shared" si="0"/>
        <v>0</v>
      </c>
    </row>
    <row r="73" spans="1:14" x14ac:dyDescent="0.2">
      <c r="A73" s="26" t="s">
        <v>164</v>
      </c>
      <c r="B73" s="125">
        <v>110685</v>
      </c>
      <c r="C73" s="125">
        <v>178003</v>
      </c>
      <c r="D73" s="125">
        <v>213601</v>
      </c>
      <c r="E73" s="125">
        <v>457716</v>
      </c>
      <c r="F73" s="125">
        <v>418024</v>
      </c>
      <c r="G73" s="125">
        <v>375126</v>
      </c>
      <c r="H73" s="125">
        <v>299887</v>
      </c>
      <c r="I73" s="125">
        <v>179866</v>
      </c>
      <c r="J73" s="125">
        <v>67164</v>
      </c>
      <c r="K73" s="125">
        <v>2300072</v>
      </c>
      <c r="L73" s="121">
        <f t="shared" si="0"/>
        <v>0</v>
      </c>
      <c r="M73" s="125"/>
    </row>
    <row r="74" spans="1:14" x14ac:dyDescent="0.2">
      <c r="A74" s="26" t="s">
        <v>165</v>
      </c>
      <c r="B74" s="125">
        <v>109241</v>
      </c>
      <c r="C74" s="125">
        <v>178175</v>
      </c>
      <c r="D74" s="125">
        <v>214472</v>
      </c>
      <c r="E74" s="125">
        <v>470735</v>
      </c>
      <c r="F74" s="125">
        <v>419785</v>
      </c>
      <c r="G74" s="125">
        <v>380880</v>
      </c>
      <c r="H74" s="125">
        <v>307496</v>
      </c>
      <c r="I74" s="125">
        <v>190383</v>
      </c>
      <c r="J74" s="125">
        <v>71172</v>
      </c>
      <c r="K74" s="125">
        <v>2342339</v>
      </c>
      <c r="L74" s="121">
        <f t="shared" si="0"/>
        <v>0</v>
      </c>
    </row>
    <row r="75" spans="1:14" x14ac:dyDescent="0.2">
      <c r="A75" s="26" t="s">
        <v>166</v>
      </c>
      <c r="B75" s="125">
        <v>97458</v>
      </c>
      <c r="C75" s="125">
        <v>176787</v>
      </c>
      <c r="D75" s="125">
        <v>214527</v>
      </c>
      <c r="E75" s="125">
        <v>481499</v>
      </c>
      <c r="F75" s="125">
        <v>422502</v>
      </c>
      <c r="G75" s="125">
        <v>386455</v>
      </c>
      <c r="H75" s="125">
        <v>314291</v>
      </c>
      <c r="I75" s="125">
        <v>201972</v>
      </c>
      <c r="J75" s="125">
        <v>76280</v>
      </c>
      <c r="K75" s="125">
        <v>2371771</v>
      </c>
      <c r="L75" s="121">
        <f t="shared" si="0"/>
        <v>0</v>
      </c>
    </row>
    <row r="76" spans="1:14" x14ac:dyDescent="0.2">
      <c r="A76" s="26" t="s">
        <v>168</v>
      </c>
      <c r="B76" s="125">
        <v>107233</v>
      </c>
      <c r="C76" s="125">
        <v>176642</v>
      </c>
      <c r="D76" s="125">
        <v>214329</v>
      </c>
      <c r="E76" s="125">
        <v>489905</v>
      </c>
      <c r="F76" s="125">
        <v>421746</v>
      </c>
      <c r="G76" s="125">
        <v>392372</v>
      </c>
      <c r="H76" s="125">
        <v>320572</v>
      </c>
      <c r="I76" s="125">
        <v>212668</v>
      </c>
      <c r="J76" s="125">
        <v>81088</v>
      </c>
      <c r="K76" s="125">
        <v>2416555</v>
      </c>
      <c r="L76" s="121">
        <f t="shared" si="0"/>
        <v>0</v>
      </c>
    </row>
    <row r="77" spans="1:14" x14ac:dyDescent="0.2">
      <c r="A77" s="26" t="s">
        <v>195</v>
      </c>
      <c r="B77" s="125">
        <v>112344</v>
      </c>
      <c r="C77" s="125">
        <v>177820</v>
      </c>
      <c r="D77" s="125">
        <v>215658</v>
      </c>
      <c r="E77" s="125">
        <v>496783</v>
      </c>
      <c r="F77" s="125">
        <v>426091</v>
      </c>
      <c r="G77" s="125">
        <v>397689</v>
      </c>
      <c r="H77" s="125">
        <v>327570</v>
      </c>
      <c r="I77" s="125">
        <v>221344</v>
      </c>
      <c r="J77" s="125">
        <v>86907</v>
      </c>
      <c r="K77" s="125">
        <v>2462206</v>
      </c>
      <c r="L77" s="121">
        <f t="shared" si="0"/>
        <v>0</v>
      </c>
    </row>
    <row r="78" spans="1:14" x14ac:dyDescent="0.2">
      <c r="A78" s="26" t="s">
        <v>196</v>
      </c>
      <c r="B78" s="125">
        <v>119592</v>
      </c>
      <c r="C78" s="125">
        <v>182273</v>
      </c>
      <c r="D78" s="125">
        <v>220101</v>
      </c>
      <c r="E78" s="125">
        <v>508797</v>
      </c>
      <c r="F78" s="125">
        <v>435676</v>
      </c>
      <c r="G78" s="125">
        <v>402315</v>
      </c>
      <c r="H78" s="125">
        <v>334868</v>
      </c>
      <c r="I78" s="125">
        <v>231179</v>
      </c>
      <c r="J78" s="125">
        <v>92588</v>
      </c>
      <c r="K78" s="125">
        <v>2527389</v>
      </c>
      <c r="L78" s="121">
        <f t="shared" si="0"/>
        <v>0</v>
      </c>
    </row>
    <row r="79" spans="1:14" x14ac:dyDescent="0.2">
      <c r="A79" s="26" t="s">
        <v>210</v>
      </c>
      <c r="B79" s="125">
        <v>125595</v>
      </c>
      <c r="C79" s="125">
        <v>189215</v>
      </c>
      <c r="D79" s="125">
        <v>229200</v>
      </c>
      <c r="E79" s="125">
        <v>524775</v>
      </c>
      <c r="F79" s="125">
        <v>448121</v>
      </c>
      <c r="G79" s="125">
        <v>407090</v>
      </c>
      <c r="H79" s="125">
        <v>342488</v>
      </c>
      <c r="I79" s="125">
        <v>239606</v>
      </c>
      <c r="J79" s="125">
        <v>100045</v>
      </c>
      <c r="K79" s="125">
        <v>2606135</v>
      </c>
      <c r="L79" s="121">
        <f t="shared" si="0"/>
        <v>0</v>
      </c>
    </row>
    <row r="80" spans="1:14" x14ac:dyDescent="0.2">
      <c r="A80" s="26" t="s">
        <v>222</v>
      </c>
      <c r="B80" s="119">
        <v>130912</v>
      </c>
      <c r="C80" s="119">
        <v>195823</v>
      </c>
      <c r="D80" s="119">
        <v>238561</v>
      </c>
      <c r="E80" s="119">
        <v>538902</v>
      </c>
      <c r="F80" s="119">
        <v>463707</v>
      </c>
      <c r="G80" s="119">
        <v>412261</v>
      </c>
      <c r="H80" s="119">
        <v>348731</v>
      </c>
      <c r="I80" s="119">
        <v>247895</v>
      </c>
      <c r="J80" s="119">
        <v>105593</v>
      </c>
      <c r="K80" s="119">
        <v>2682385</v>
      </c>
      <c r="L80" s="121">
        <f t="shared" si="0"/>
        <v>0</v>
      </c>
    </row>
    <row r="81" spans="1:14" x14ac:dyDescent="0.2">
      <c r="A81" s="19" t="s">
        <v>167</v>
      </c>
      <c r="B81" s="125"/>
      <c r="C81" s="125"/>
      <c r="D81" s="125"/>
      <c r="E81" s="125"/>
      <c r="F81" s="125"/>
      <c r="G81" s="125"/>
      <c r="H81" s="125"/>
      <c r="I81" s="125"/>
      <c r="J81" s="125"/>
      <c r="L81" s="125"/>
    </row>
    <row r="82" spans="1:14" x14ac:dyDescent="0.2">
      <c r="A82" s="26" t="s">
        <v>156</v>
      </c>
      <c r="B82" s="125">
        <v>114885</v>
      </c>
      <c r="C82" s="125">
        <v>174814</v>
      </c>
      <c r="D82" s="125">
        <v>192335</v>
      </c>
      <c r="E82" s="125">
        <v>385617</v>
      </c>
      <c r="F82" s="125">
        <v>382897</v>
      </c>
      <c r="G82" s="125">
        <v>330759</v>
      </c>
      <c r="H82" s="125">
        <v>247722</v>
      </c>
      <c r="I82" s="125">
        <v>139757</v>
      </c>
      <c r="J82" s="125">
        <v>68651</v>
      </c>
      <c r="K82" s="125">
        <v>2037437</v>
      </c>
      <c r="L82" s="121">
        <f>K82-SUM(B82:J82)</f>
        <v>0</v>
      </c>
    </row>
    <row r="83" spans="1:14" x14ac:dyDescent="0.2">
      <c r="A83" s="26" t="s">
        <v>157</v>
      </c>
      <c r="B83" s="125">
        <v>115106</v>
      </c>
      <c r="C83" s="125">
        <v>177714</v>
      </c>
      <c r="D83" s="125">
        <v>198189</v>
      </c>
      <c r="E83" s="125">
        <v>388550</v>
      </c>
      <c r="F83" s="125">
        <v>388434</v>
      </c>
      <c r="G83" s="125">
        <v>337924</v>
      </c>
      <c r="H83" s="125">
        <v>256308</v>
      </c>
      <c r="I83" s="125">
        <v>143596</v>
      </c>
      <c r="J83" s="125">
        <v>72059</v>
      </c>
      <c r="K83" s="125">
        <v>2077880</v>
      </c>
      <c r="L83" s="121">
        <f t="shared" ref="L83:L96" si="1">K83-SUM(B83:J83)</f>
        <v>0</v>
      </c>
    </row>
    <row r="84" spans="1:14" x14ac:dyDescent="0.2">
      <c r="A84" s="26" t="s">
        <v>158</v>
      </c>
      <c r="B84" s="125">
        <v>113479</v>
      </c>
      <c r="C84" s="125">
        <v>179156</v>
      </c>
      <c r="D84" s="125">
        <v>203208</v>
      </c>
      <c r="E84" s="125">
        <v>394661</v>
      </c>
      <c r="F84" s="125">
        <v>393913</v>
      </c>
      <c r="G84" s="125">
        <v>345262</v>
      </c>
      <c r="H84" s="125">
        <v>264146</v>
      </c>
      <c r="I84" s="125">
        <v>148396</v>
      </c>
      <c r="J84" s="125">
        <v>71881</v>
      </c>
      <c r="K84" s="125">
        <v>2114102</v>
      </c>
      <c r="L84" s="121">
        <f t="shared" si="1"/>
        <v>0</v>
      </c>
      <c r="N84" s="118"/>
    </row>
    <row r="85" spans="1:14" x14ac:dyDescent="0.2">
      <c r="A85" s="26" t="s">
        <v>159</v>
      </c>
      <c r="B85" s="125">
        <v>112710</v>
      </c>
      <c r="C85" s="125">
        <v>178658</v>
      </c>
      <c r="D85" s="125">
        <v>207022</v>
      </c>
      <c r="E85" s="125">
        <v>406988</v>
      </c>
      <c r="F85" s="125">
        <v>398659</v>
      </c>
      <c r="G85" s="125">
        <v>353550</v>
      </c>
      <c r="H85" s="125">
        <v>273778</v>
      </c>
      <c r="I85" s="125">
        <v>152996</v>
      </c>
      <c r="J85" s="125">
        <v>71926</v>
      </c>
      <c r="K85" s="125">
        <v>2156287</v>
      </c>
      <c r="L85" s="121">
        <f t="shared" si="1"/>
        <v>0</v>
      </c>
    </row>
    <row r="86" spans="1:14" x14ac:dyDescent="0.2">
      <c r="A86" s="26" t="s">
        <v>160</v>
      </c>
      <c r="B86" s="125">
        <v>112017</v>
      </c>
      <c r="C86" s="125">
        <v>181058</v>
      </c>
      <c r="D86" s="125">
        <v>209702</v>
      </c>
      <c r="E86" s="125">
        <v>418036</v>
      </c>
      <c r="F86" s="125">
        <v>402445</v>
      </c>
      <c r="G86" s="125">
        <v>360467</v>
      </c>
      <c r="H86" s="125">
        <v>281094</v>
      </c>
      <c r="I86" s="125">
        <v>158908</v>
      </c>
      <c r="J86" s="125">
        <v>73038</v>
      </c>
      <c r="K86" s="125">
        <v>2196765</v>
      </c>
      <c r="L86" s="121">
        <f t="shared" si="1"/>
        <v>0</v>
      </c>
    </row>
    <row r="87" spans="1:14" x14ac:dyDescent="0.2">
      <c r="A87" s="26" t="s">
        <v>161</v>
      </c>
      <c r="B87" s="125">
        <v>111681</v>
      </c>
      <c r="C87" s="125">
        <v>182835</v>
      </c>
      <c r="D87" s="125">
        <v>212747</v>
      </c>
      <c r="E87" s="125">
        <v>428943</v>
      </c>
      <c r="F87" s="125">
        <v>405740</v>
      </c>
      <c r="G87" s="125">
        <v>365539</v>
      </c>
      <c r="H87" s="125">
        <v>287633</v>
      </c>
      <c r="I87" s="125">
        <v>165404</v>
      </c>
      <c r="J87" s="125">
        <v>70952</v>
      </c>
      <c r="K87" s="125">
        <v>2231474</v>
      </c>
      <c r="L87" s="121">
        <f t="shared" si="1"/>
        <v>0</v>
      </c>
    </row>
    <row r="88" spans="1:14" x14ac:dyDescent="0.2">
      <c r="A88" s="26" t="s">
        <v>162</v>
      </c>
      <c r="B88" s="125">
        <v>111752</v>
      </c>
      <c r="C88" s="125">
        <v>184757</v>
      </c>
      <c r="D88" s="125">
        <v>214877</v>
      </c>
      <c r="E88" s="125">
        <v>441997</v>
      </c>
      <c r="F88" s="125">
        <v>410495</v>
      </c>
      <c r="G88" s="125">
        <v>369749</v>
      </c>
      <c r="H88" s="125">
        <v>295237</v>
      </c>
      <c r="I88" s="125">
        <v>172191</v>
      </c>
      <c r="J88" s="125">
        <v>73464</v>
      </c>
      <c r="K88" s="125">
        <v>2274519</v>
      </c>
      <c r="L88" s="121">
        <f t="shared" si="1"/>
        <v>0</v>
      </c>
    </row>
    <row r="89" spans="1:14" x14ac:dyDescent="0.2">
      <c r="A89" s="26" t="s">
        <v>163</v>
      </c>
      <c r="B89" s="125">
        <v>110497</v>
      </c>
      <c r="C89" s="125">
        <v>186760</v>
      </c>
      <c r="D89" s="125">
        <v>216278</v>
      </c>
      <c r="E89" s="125">
        <v>454953</v>
      </c>
      <c r="F89" s="125">
        <v>415174</v>
      </c>
      <c r="G89" s="125">
        <v>374355</v>
      </c>
      <c r="H89" s="125">
        <v>298172</v>
      </c>
      <c r="I89" s="125">
        <v>184444</v>
      </c>
      <c r="J89" s="125">
        <v>77224</v>
      </c>
      <c r="K89" s="125">
        <v>2317857</v>
      </c>
      <c r="L89" s="121">
        <f t="shared" si="1"/>
        <v>0</v>
      </c>
    </row>
    <row r="90" spans="1:14" x14ac:dyDescent="0.2">
      <c r="A90" s="26" t="s">
        <v>164</v>
      </c>
      <c r="B90" s="125">
        <v>112020</v>
      </c>
      <c r="C90" s="125">
        <v>188154</v>
      </c>
      <c r="D90" s="125">
        <v>219936</v>
      </c>
      <c r="E90" s="125">
        <v>468452</v>
      </c>
      <c r="F90" s="125">
        <v>419336</v>
      </c>
      <c r="G90" s="125">
        <v>379272</v>
      </c>
      <c r="H90" s="125">
        <v>303778</v>
      </c>
      <c r="I90" s="125">
        <v>194644</v>
      </c>
      <c r="J90" s="125">
        <v>79943</v>
      </c>
      <c r="K90" s="125">
        <v>2365535</v>
      </c>
      <c r="L90" s="121">
        <f t="shared" si="1"/>
        <v>0</v>
      </c>
      <c r="M90" s="125"/>
    </row>
    <row r="91" spans="1:14" x14ac:dyDescent="0.2">
      <c r="A91" s="26" t="s">
        <v>165</v>
      </c>
      <c r="B91" s="125">
        <v>110770</v>
      </c>
      <c r="C91" s="125">
        <v>189177</v>
      </c>
      <c r="D91" s="125">
        <v>224866</v>
      </c>
      <c r="E91" s="125">
        <v>479303</v>
      </c>
      <c r="F91" s="125">
        <v>421416</v>
      </c>
      <c r="G91" s="125">
        <v>383771</v>
      </c>
      <c r="H91" s="125">
        <v>310371</v>
      </c>
      <c r="I91" s="125">
        <v>202936</v>
      </c>
      <c r="J91" s="125">
        <v>83388</v>
      </c>
      <c r="K91" s="125">
        <v>2405998</v>
      </c>
      <c r="L91" s="121">
        <f t="shared" si="1"/>
        <v>0</v>
      </c>
    </row>
    <row r="92" spans="1:14" x14ac:dyDescent="0.2">
      <c r="A92" s="26" t="s">
        <v>166</v>
      </c>
      <c r="B92" s="125">
        <v>99508</v>
      </c>
      <c r="C92" s="125">
        <v>188118</v>
      </c>
      <c r="D92" s="125">
        <v>229330</v>
      </c>
      <c r="E92" s="125">
        <v>488718</v>
      </c>
      <c r="F92" s="125">
        <v>425183</v>
      </c>
      <c r="G92" s="125">
        <v>388781</v>
      </c>
      <c r="H92" s="125">
        <v>316522</v>
      </c>
      <c r="I92" s="125">
        <v>211499</v>
      </c>
      <c r="J92" s="125">
        <v>88021</v>
      </c>
      <c r="K92" s="125">
        <v>2435680</v>
      </c>
      <c r="L92" s="121">
        <f t="shared" si="1"/>
        <v>0</v>
      </c>
    </row>
    <row r="93" spans="1:14" x14ac:dyDescent="0.2">
      <c r="A93" s="26" t="s">
        <v>168</v>
      </c>
      <c r="B93" s="125">
        <v>109498</v>
      </c>
      <c r="C93" s="125">
        <v>188715</v>
      </c>
      <c r="D93" s="125">
        <v>233457</v>
      </c>
      <c r="E93" s="125">
        <v>494662</v>
      </c>
      <c r="F93" s="125">
        <v>426038</v>
      </c>
      <c r="G93" s="125">
        <v>392087</v>
      </c>
      <c r="H93" s="125">
        <v>322265</v>
      </c>
      <c r="I93" s="125">
        <v>219101</v>
      </c>
      <c r="J93" s="125">
        <v>92765</v>
      </c>
      <c r="K93" s="125">
        <v>2478588</v>
      </c>
      <c r="L93" s="121">
        <f t="shared" si="1"/>
        <v>0</v>
      </c>
    </row>
    <row r="94" spans="1:14" x14ac:dyDescent="0.2">
      <c r="A94" s="26" t="s">
        <v>195</v>
      </c>
      <c r="B94" s="125">
        <v>115317</v>
      </c>
      <c r="C94" s="125">
        <v>186231</v>
      </c>
      <c r="D94" s="125">
        <v>232080</v>
      </c>
      <c r="E94" s="125">
        <v>496622</v>
      </c>
      <c r="F94" s="125">
        <v>429850</v>
      </c>
      <c r="G94" s="125">
        <v>394983</v>
      </c>
      <c r="H94" s="125">
        <v>328066</v>
      </c>
      <c r="I94" s="125">
        <v>225720</v>
      </c>
      <c r="J94" s="125">
        <v>97761</v>
      </c>
      <c r="K94" s="125">
        <v>2506630</v>
      </c>
      <c r="L94" s="121">
        <f t="shared" si="1"/>
        <v>0</v>
      </c>
    </row>
    <row r="95" spans="1:14" x14ac:dyDescent="0.2">
      <c r="A95" s="26" t="s">
        <v>196</v>
      </c>
      <c r="B95" s="125">
        <v>123564</v>
      </c>
      <c r="C95" s="125">
        <v>192647</v>
      </c>
      <c r="D95" s="125">
        <v>237825</v>
      </c>
      <c r="E95" s="125">
        <v>508596</v>
      </c>
      <c r="F95" s="125">
        <v>440467</v>
      </c>
      <c r="G95" s="125">
        <v>397781</v>
      </c>
      <c r="H95" s="125">
        <v>335311</v>
      </c>
      <c r="I95" s="125">
        <v>232879</v>
      </c>
      <c r="J95" s="125">
        <v>101452</v>
      </c>
      <c r="K95" s="125">
        <v>2570522</v>
      </c>
      <c r="L95" s="121">
        <f t="shared" si="1"/>
        <v>0</v>
      </c>
    </row>
    <row r="96" spans="1:14" x14ac:dyDescent="0.2">
      <c r="A96" s="26" t="s">
        <v>210</v>
      </c>
      <c r="B96" s="125">
        <v>130337</v>
      </c>
      <c r="C96" s="125">
        <v>203151</v>
      </c>
      <c r="D96" s="125">
        <v>247229</v>
      </c>
      <c r="E96" s="125">
        <v>528305</v>
      </c>
      <c r="F96" s="125">
        <v>454469</v>
      </c>
      <c r="G96" s="125">
        <v>401284</v>
      </c>
      <c r="H96" s="125">
        <v>342694</v>
      </c>
      <c r="I96" s="125">
        <v>239676</v>
      </c>
      <c r="J96" s="125">
        <v>107128</v>
      </c>
      <c r="K96" s="125">
        <v>2654273</v>
      </c>
      <c r="L96" s="121">
        <f t="shared" si="1"/>
        <v>0</v>
      </c>
    </row>
    <row r="97" spans="1:15" x14ac:dyDescent="0.2">
      <c r="A97" s="26" t="s">
        <v>222</v>
      </c>
      <c r="B97" s="119">
        <v>135997</v>
      </c>
      <c r="C97" s="119">
        <v>211748</v>
      </c>
      <c r="D97" s="119">
        <v>253620</v>
      </c>
      <c r="E97" s="119">
        <v>544231</v>
      </c>
      <c r="F97" s="119">
        <v>469451</v>
      </c>
      <c r="G97" s="119">
        <v>405882</v>
      </c>
      <c r="H97" s="119">
        <v>348846</v>
      </c>
      <c r="I97" s="119">
        <v>245950</v>
      </c>
      <c r="J97" s="119">
        <v>111791</v>
      </c>
      <c r="K97" s="119">
        <v>2727516</v>
      </c>
      <c r="L97" s="121">
        <f>K97-SUM(B97:J97)</f>
        <v>0</v>
      </c>
    </row>
    <row r="98" spans="1:15" x14ac:dyDescent="0.2">
      <c r="A98" s="19" t="s">
        <v>234</v>
      </c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</row>
    <row r="99" spans="1:15" x14ac:dyDescent="0.2">
      <c r="A99" s="26" t="s">
        <v>156</v>
      </c>
      <c r="B99" s="125">
        <v>222584</v>
      </c>
      <c r="C99" s="125">
        <v>342764</v>
      </c>
      <c r="D99" s="125">
        <v>377366</v>
      </c>
      <c r="E99" s="125">
        <v>769433</v>
      </c>
      <c r="F99" s="125">
        <v>762839</v>
      </c>
      <c r="G99" s="125">
        <v>654276</v>
      </c>
      <c r="H99" s="125">
        <v>473204</v>
      </c>
      <c r="I99" s="125">
        <v>253675</v>
      </c>
      <c r="J99" s="125">
        <v>122181</v>
      </c>
      <c r="K99" s="125">
        <v>3978322</v>
      </c>
      <c r="L99" s="121">
        <f>K99-SUM(B99:J99)</f>
        <v>0</v>
      </c>
      <c r="O99" s="154"/>
    </row>
    <row r="100" spans="1:15" x14ac:dyDescent="0.2">
      <c r="A100" s="26" t="s">
        <v>157</v>
      </c>
      <c r="B100" s="125">
        <v>222824</v>
      </c>
      <c r="C100" s="125">
        <v>348543</v>
      </c>
      <c r="D100" s="125">
        <v>387888</v>
      </c>
      <c r="E100" s="125">
        <v>772201</v>
      </c>
      <c r="F100" s="125">
        <v>775274</v>
      </c>
      <c r="G100" s="125">
        <v>668899</v>
      </c>
      <c r="H100" s="125">
        <v>493618</v>
      </c>
      <c r="I100" s="125">
        <v>261994</v>
      </c>
      <c r="J100" s="125">
        <v>129341</v>
      </c>
      <c r="K100" s="125">
        <v>4060582</v>
      </c>
      <c r="L100" s="121">
        <f t="shared" ref="L100:L114" si="2">K100-SUM(B100:J100)</f>
        <v>0</v>
      </c>
      <c r="O100" s="154"/>
    </row>
    <row r="101" spans="1:15" x14ac:dyDescent="0.2">
      <c r="A101" s="26" t="s">
        <v>158</v>
      </c>
      <c r="B101" s="125">
        <v>220040</v>
      </c>
      <c r="C101" s="125">
        <v>351984</v>
      </c>
      <c r="D101" s="125">
        <v>396698</v>
      </c>
      <c r="E101" s="125">
        <v>782056</v>
      </c>
      <c r="F101" s="125">
        <v>787243</v>
      </c>
      <c r="G101" s="125">
        <v>684165</v>
      </c>
      <c r="H101" s="125">
        <v>511596</v>
      </c>
      <c r="I101" s="125">
        <v>272699</v>
      </c>
      <c r="J101" s="125">
        <v>129244</v>
      </c>
      <c r="K101" s="125">
        <v>4135725</v>
      </c>
      <c r="L101" s="121">
        <f t="shared" si="2"/>
        <v>0</v>
      </c>
      <c r="O101" s="154"/>
    </row>
    <row r="102" spans="1:15" x14ac:dyDescent="0.2">
      <c r="A102" s="26" t="s">
        <v>159</v>
      </c>
      <c r="B102" s="125">
        <v>218598</v>
      </c>
      <c r="C102" s="125">
        <v>352262</v>
      </c>
      <c r="D102" s="125">
        <v>404966</v>
      </c>
      <c r="E102" s="125">
        <v>804243</v>
      </c>
      <c r="F102" s="125">
        <v>798027</v>
      </c>
      <c r="G102" s="125">
        <v>701462</v>
      </c>
      <c r="H102" s="125">
        <v>534336</v>
      </c>
      <c r="I102" s="125">
        <v>283350</v>
      </c>
      <c r="J102" s="125">
        <v>130986</v>
      </c>
      <c r="K102" s="125">
        <v>4228230</v>
      </c>
      <c r="L102" s="121">
        <f t="shared" si="2"/>
        <v>0</v>
      </c>
      <c r="O102" s="154"/>
    </row>
    <row r="103" spans="1:15" x14ac:dyDescent="0.2">
      <c r="A103" s="26" t="s">
        <v>160</v>
      </c>
      <c r="B103" s="125">
        <v>217622</v>
      </c>
      <c r="C103" s="125">
        <v>355894</v>
      </c>
      <c r="D103" s="125">
        <v>410775</v>
      </c>
      <c r="E103" s="125">
        <v>824416</v>
      </c>
      <c r="F103" s="125">
        <v>805679</v>
      </c>
      <c r="G103" s="125">
        <v>715458</v>
      </c>
      <c r="H103" s="125">
        <v>550973</v>
      </c>
      <c r="I103" s="125">
        <v>296927</v>
      </c>
      <c r="J103" s="125">
        <v>132943</v>
      </c>
      <c r="K103" s="125">
        <v>4310687</v>
      </c>
      <c r="L103" s="121">
        <f t="shared" si="2"/>
        <v>0</v>
      </c>
      <c r="O103" s="154"/>
    </row>
    <row r="104" spans="1:15" x14ac:dyDescent="0.2">
      <c r="A104" s="26" t="s">
        <v>161</v>
      </c>
      <c r="B104" s="125">
        <v>217127</v>
      </c>
      <c r="C104" s="125">
        <v>358834</v>
      </c>
      <c r="D104" s="125">
        <v>417418</v>
      </c>
      <c r="E104" s="125">
        <v>845931</v>
      </c>
      <c r="F104" s="125">
        <v>813317</v>
      </c>
      <c r="G104" s="125">
        <v>725789</v>
      </c>
      <c r="H104" s="125">
        <v>566483</v>
      </c>
      <c r="I104" s="125">
        <v>311096</v>
      </c>
      <c r="J104" s="125">
        <v>128614</v>
      </c>
      <c r="K104" s="125">
        <v>4384609</v>
      </c>
      <c r="L104" s="121">
        <f t="shared" si="2"/>
        <v>0</v>
      </c>
      <c r="O104" s="154"/>
    </row>
    <row r="105" spans="1:15" x14ac:dyDescent="0.2">
      <c r="A105" s="26" t="s">
        <v>162</v>
      </c>
      <c r="B105" s="125">
        <v>218166</v>
      </c>
      <c r="C105" s="125">
        <v>361029</v>
      </c>
      <c r="D105" s="125">
        <v>423110</v>
      </c>
      <c r="E105" s="125">
        <v>871888</v>
      </c>
      <c r="F105" s="125">
        <v>821708</v>
      </c>
      <c r="G105" s="125">
        <v>735261</v>
      </c>
      <c r="H105" s="125">
        <v>583444</v>
      </c>
      <c r="I105" s="125">
        <v>326140</v>
      </c>
      <c r="J105" s="125">
        <v>133756</v>
      </c>
      <c r="K105" s="125">
        <v>4474502</v>
      </c>
      <c r="L105" s="121">
        <f t="shared" si="2"/>
        <v>0</v>
      </c>
      <c r="O105" s="154"/>
    </row>
    <row r="106" spans="1:15" x14ac:dyDescent="0.2">
      <c r="A106" s="26" t="s">
        <v>163</v>
      </c>
      <c r="B106" s="125">
        <v>217207</v>
      </c>
      <c r="C106" s="125">
        <v>364588</v>
      </c>
      <c r="D106" s="125">
        <v>426492</v>
      </c>
      <c r="E106" s="125">
        <v>897943</v>
      </c>
      <c r="F106" s="125">
        <v>830253</v>
      </c>
      <c r="G106" s="125">
        <v>744291</v>
      </c>
      <c r="H106" s="125">
        <v>591258</v>
      </c>
      <c r="I106" s="125">
        <v>352149</v>
      </c>
      <c r="J106" s="125">
        <v>141414</v>
      </c>
      <c r="K106" s="125">
        <v>4565595</v>
      </c>
      <c r="L106" s="121">
        <f t="shared" si="2"/>
        <v>0</v>
      </c>
      <c r="O106" s="154"/>
    </row>
    <row r="107" spans="1:15" x14ac:dyDescent="0.2">
      <c r="A107" s="26" t="s">
        <v>164</v>
      </c>
      <c r="B107" s="125">
        <v>222725</v>
      </c>
      <c r="C107" s="125">
        <v>366174</v>
      </c>
      <c r="D107" s="125">
        <v>433636</v>
      </c>
      <c r="E107" s="125">
        <v>926179</v>
      </c>
      <c r="F107" s="125">
        <v>837363</v>
      </c>
      <c r="G107" s="125">
        <v>754403</v>
      </c>
      <c r="H107" s="125">
        <v>603666</v>
      </c>
      <c r="I107" s="125">
        <v>374510</v>
      </c>
      <c r="J107" s="125">
        <v>147108</v>
      </c>
      <c r="K107" s="125">
        <v>4665764</v>
      </c>
      <c r="L107" s="121">
        <f t="shared" si="2"/>
        <v>0</v>
      </c>
      <c r="O107" s="154"/>
    </row>
    <row r="108" spans="1:15" x14ac:dyDescent="0.2">
      <c r="A108" s="26" t="s">
        <v>165</v>
      </c>
      <c r="B108" s="125">
        <v>220039</v>
      </c>
      <c r="C108" s="125">
        <v>367377</v>
      </c>
      <c r="D108" s="125">
        <v>439447</v>
      </c>
      <c r="E108" s="125">
        <v>950061</v>
      </c>
      <c r="F108" s="125">
        <v>841208</v>
      </c>
      <c r="G108" s="125">
        <v>764658</v>
      </c>
      <c r="H108" s="125">
        <v>617869</v>
      </c>
      <c r="I108" s="125">
        <v>393319</v>
      </c>
      <c r="J108" s="125">
        <v>154561</v>
      </c>
      <c r="K108" s="125">
        <v>4748539</v>
      </c>
      <c r="L108" s="121">
        <f t="shared" si="2"/>
        <v>0</v>
      </c>
      <c r="O108" s="154"/>
    </row>
    <row r="109" spans="1:15" x14ac:dyDescent="0.2">
      <c r="A109" s="26" t="s">
        <v>166</v>
      </c>
      <c r="B109" s="125">
        <v>197008</v>
      </c>
      <c r="C109" s="125">
        <v>364936</v>
      </c>
      <c r="D109" s="125">
        <v>443981</v>
      </c>
      <c r="E109" s="125">
        <v>970255</v>
      </c>
      <c r="F109" s="125">
        <v>847693</v>
      </c>
      <c r="G109" s="125">
        <v>775244</v>
      </c>
      <c r="H109" s="125">
        <v>630814</v>
      </c>
      <c r="I109" s="125">
        <v>413473</v>
      </c>
      <c r="J109" s="125">
        <v>164302</v>
      </c>
      <c r="K109" s="125">
        <v>4807706</v>
      </c>
      <c r="L109" s="121">
        <f t="shared" si="2"/>
        <v>0</v>
      </c>
      <c r="O109" s="154"/>
    </row>
    <row r="110" spans="1:15" x14ac:dyDescent="0.2">
      <c r="A110" s="26" t="s">
        <v>168</v>
      </c>
      <c r="B110" s="125">
        <v>216731</v>
      </c>
      <c r="C110" s="125">
        <v>365357</v>
      </c>
      <c r="D110" s="125">
        <v>447786</v>
      </c>
      <c r="E110" s="125">
        <v>984567</v>
      </c>
      <c r="F110" s="125">
        <v>847784</v>
      </c>
      <c r="G110" s="125">
        <v>784459</v>
      </c>
      <c r="H110" s="125">
        <v>642837</v>
      </c>
      <c r="I110" s="125">
        <v>431769</v>
      </c>
      <c r="J110" s="125">
        <v>173853</v>
      </c>
      <c r="K110" s="125">
        <v>4895143</v>
      </c>
      <c r="L110" s="121">
        <f t="shared" si="2"/>
        <v>0</v>
      </c>
      <c r="O110" s="154"/>
    </row>
    <row r="111" spans="1:15" x14ac:dyDescent="0.2">
      <c r="A111" s="26" t="s">
        <v>195</v>
      </c>
      <c r="B111" s="125">
        <v>227661</v>
      </c>
      <c r="C111" s="125">
        <v>364051</v>
      </c>
      <c r="D111" s="125">
        <v>447738</v>
      </c>
      <c r="E111" s="125">
        <v>993405</v>
      </c>
      <c r="F111" s="125">
        <v>855941</v>
      </c>
      <c r="G111" s="125">
        <v>792672</v>
      </c>
      <c r="H111" s="125">
        <v>655636</v>
      </c>
      <c r="I111" s="125">
        <v>447064</v>
      </c>
      <c r="J111" s="125">
        <v>184668</v>
      </c>
      <c r="K111" s="125">
        <v>4968836</v>
      </c>
      <c r="L111" s="121">
        <f t="shared" si="2"/>
        <v>0</v>
      </c>
      <c r="O111" s="154"/>
    </row>
    <row r="112" spans="1:15" x14ac:dyDescent="0.2">
      <c r="A112" s="26" t="s">
        <v>196</v>
      </c>
      <c r="B112" s="125">
        <v>243156</v>
      </c>
      <c r="C112" s="125">
        <v>374920</v>
      </c>
      <c r="D112" s="125">
        <v>457926</v>
      </c>
      <c r="E112" s="125">
        <v>1017393</v>
      </c>
      <c r="F112" s="125">
        <v>876143</v>
      </c>
      <c r="G112" s="125">
        <v>800096</v>
      </c>
      <c r="H112" s="125">
        <v>670179</v>
      </c>
      <c r="I112" s="125">
        <v>464058</v>
      </c>
      <c r="J112" s="125">
        <v>194040</v>
      </c>
      <c r="K112" s="125">
        <v>5097911</v>
      </c>
      <c r="L112" s="121">
        <f t="shared" si="2"/>
        <v>0</v>
      </c>
      <c r="O112" s="154"/>
    </row>
    <row r="113" spans="1:15" x14ac:dyDescent="0.2">
      <c r="A113" s="26" t="s">
        <v>210</v>
      </c>
      <c r="B113" s="125">
        <v>255932</v>
      </c>
      <c r="C113" s="125">
        <v>392366</v>
      </c>
      <c r="D113" s="125">
        <v>476429</v>
      </c>
      <c r="E113" s="125">
        <v>1053080</v>
      </c>
      <c r="F113" s="125">
        <v>902590</v>
      </c>
      <c r="G113" s="125">
        <v>808374</v>
      </c>
      <c r="H113" s="125">
        <v>685182</v>
      </c>
      <c r="I113" s="125">
        <v>479282</v>
      </c>
      <c r="J113" s="125">
        <v>207173</v>
      </c>
      <c r="K113" s="125">
        <v>5260408</v>
      </c>
      <c r="L113" s="121">
        <f t="shared" si="2"/>
        <v>0</v>
      </c>
      <c r="O113" s="154"/>
    </row>
    <row r="114" spans="1:15" x14ac:dyDescent="0.2">
      <c r="A114" s="30" t="s">
        <v>222</v>
      </c>
      <c r="B114" s="133">
        <v>266909</v>
      </c>
      <c r="C114" s="133">
        <v>407571</v>
      </c>
      <c r="D114" s="133">
        <v>492181</v>
      </c>
      <c r="E114" s="133">
        <v>1083133</v>
      </c>
      <c r="F114" s="133">
        <v>933158</v>
      </c>
      <c r="G114" s="133">
        <v>818143</v>
      </c>
      <c r="H114" s="133">
        <v>697577</v>
      </c>
      <c r="I114" s="133">
        <v>493845</v>
      </c>
      <c r="J114" s="133">
        <v>217384</v>
      </c>
      <c r="K114" s="133">
        <v>5409901</v>
      </c>
      <c r="L114" s="121">
        <f t="shared" si="2"/>
        <v>0</v>
      </c>
      <c r="O114" s="154"/>
    </row>
    <row r="115" spans="1:15" x14ac:dyDescent="0.2">
      <c r="A115" s="5" t="s">
        <v>18</v>
      </c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</row>
    <row r="116" spans="1:15" x14ac:dyDescent="0.2">
      <c r="A116" s="19" t="s">
        <v>245</v>
      </c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</row>
    <row r="119" spans="1:15" x14ac:dyDescent="0.2">
      <c r="A119" s="8" t="s">
        <v>256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5" x14ac:dyDescent="0.2">
      <c r="A120" s="206" t="s">
        <v>154</v>
      </c>
      <c r="B120" s="208" t="s">
        <v>224</v>
      </c>
      <c r="C120" s="208"/>
      <c r="D120" s="208"/>
      <c r="E120" s="208"/>
      <c r="F120" s="208"/>
      <c r="G120" s="208"/>
      <c r="H120" s="208"/>
      <c r="I120" s="208"/>
      <c r="J120" s="208"/>
      <c r="K120" s="208"/>
    </row>
    <row r="121" spans="1:15" x14ac:dyDescent="0.2">
      <c r="A121" s="209"/>
      <c r="B121" s="9" t="s">
        <v>225</v>
      </c>
      <c r="C121" s="9" t="s">
        <v>226</v>
      </c>
      <c r="D121" s="9" t="s">
        <v>227</v>
      </c>
      <c r="E121" s="9" t="s">
        <v>228</v>
      </c>
      <c r="F121" s="9" t="s">
        <v>229</v>
      </c>
      <c r="G121" s="9" t="s">
        <v>230</v>
      </c>
      <c r="H121" s="9" t="s">
        <v>231</v>
      </c>
      <c r="I121" s="9" t="s">
        <v>232</v>
      </c>
      <c r="J121" s="9" t="s">
        <v>233</v>
      </c>
      <c r="K121" s="9" t="s">
        <v>7</v>
      </c>
    </row>
    <row r="122" spans="1:15" x14ac:dyDescent="0.2">
      <c r="A122" s="123" t="s">
        <v>155</v>
      </c>
      <c r="B122" s="8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5"/>
      <c r="M122" s="11"/>
    </row>
    <row r="123" spans="1:15" x14ac:dyDescent="0.2">
      <c r="A123" s="26" t="s">
        <v>156</v>
      </c>
      <c r="B123" s="47">
        <v>93039</v>
      </c>
      <c r="C123" s="47">
        <v>132299</v>
      </c>
      <c r="D123" s="47">
        <v>142416</v>
      </c>
      <c r="E123" s="47">
        <v>293772</v>
      </c>
      <c r="F123" s="47">
        <v>298476</v>
      </c>
      <c r="G123" s="47">
        <v>260418</v>
      </c>
      <c r="H123" s="47">
        <v>187206</v>
      </c>
      <c r="I123" s="47">
        <v>85623</v>
      </c>
      <c r="J123" s="47">
        <v>26205</v>
      </c>
      <c r="K123" s="47">
        <v>1519454</v>
      </c>
      <c r="L123" s="121"/>
      <c r="M123" s="11"/>
      <c r="N123" s="118"/>
      <c r="O123" s="125"/>
    </row>
    <row r="124" spans="1:15" x14ac:dyDescent="0.2">
      <c r="A124" s="26" t="s">
        <v>157</v>
      </c>
      <c r="B124" s="47">
        <v>94553</v>
      </c>
      <c r="C124" s="47">
        <v>135325</v>
      </c>
      <c r="D124" s="47">
        <v>147302</v>
      </c>
      <c r="E124" s="47">
        <v>298109</v>
      </c>
      <c r="F124" s="47">
        <v>307090</v>
      </c>
      <c r="G124" s="47">
        <v>269114</v>
      </c>
      <c r="H124" s="47">
        <v>197947</v>
      </c>
      <c r="I124" s="47">
        <v>90744</v>
      </c>
      <c r="J124" s="47">
        <v>28734</v>
      </c>
      <c r="K124" s="47">
        <v>1568918</v>
      </c>
      <c r="L124" s="121"/>
      <c r="N124" s="118"/>
      <c r="O124" s="125"/>
    </row>
    <row r="125" spans="1:15" x14ac:dyDescent="0.2">
      <c r="A125" s="26" t="s">
        <v>158</v>
      </c>
      <c r="B125" s="47">
        <v>93614</v>
      </c>
      <c r="C125" s="47">
        <v>136149</v>
      </c>
      <c r="D125" s="47">
        <v>148254</v>
      </c>
      <c r="E125" s="47">
        <v>298259</v>
      </c>
      <c r="F125" s="47">
        <v>311710</v>
      </c>
      <c r="G125" s="47">
        <v>277259</v>
      </c>
      <c r="H125" s="47">
        <v>207584</v>
      </c>
      <c r="I125" s="47">
        <v>97747</v>
      </c>
      <c r="J125" s="47">
        <v>31292</v>
      </c>
      <c r="K125" s="47">
        <v>1601868</v>
      </c>
      <c r="L125" s="121"/>
      <c r="N125" s="118"/>
      <c r="O125" s="125"/>
    </row>
    <row r="126" spans="1:15" x14ac:dyDescent="0.2">
      <c r="A126" s="26" t="s">
        <v>159</v>
      </c>
      <c r="B126" s="47">
        <v>95254</v>
      </c>
      <c r="C126" s="47">
        <v>139032</v>
      </c>
      <c r="D126" s="47">
        <v>149712</v>
      </c>
      <c r="E126" s="47">
        <v>302964</v>
      </c>
      <c r="F126" s="47">
        <v>316032</v>
      </c>
      <c r="G126" s="47">
        <v>284082</v>
      </c>
      <c r="H126" s="47">
        <v>216522</v>
      </c>
      <c r="I126" s="47">
        <v>103355</v>
      </c>
      <c r="J126" s="47">
        <v>33517</v>
      </c>
      <c r="K126" s="47">
        <v>1640470</v>
      </c>
      <c r="L126" s="121"/>
      <c r="N126" s="118"/>
      <c r="O126" s="125"/>
    </row>
    <row r="127" spans="1:15" x14ac:dyDescent="0.2">
      <c r="A127" s="26" t="s">
        <v>160</v>
      </c>
      <c r="B127" s="47">
        <v>95689</v>
      </c>
      <c r="C127" s="47">
        <v>138142</v>
      </c>
      <c r="D127" s="47">
        <v>146726</v>
      </c>
      <c r="E127" s="47">
        <v>301129</v>
      </c>
      <c r="F127" s="47">
        <v>314733</v>
      </c>
      <c r="G127" s="47">
        <v>286496</v>
      </c>
      <c r="H127" s="47">
        <v>221341</v>
      </c>
      <c r="I127" s="47">
        <v>109817</v>
      </c>
      <c r="J127" s="47">
        <v>35750</v>
      </c>
      <c r="K127" s="47">
        <v>1649823</v>
      </c>
      <c r="L127" s="121"/>
      <c r="N127" s="118"/>
    </row>
    <row r="128" spans="1:15" x14ac:dyDescent="0.2">
      <c r="A128" s="26" t="s">
        <v>161</v>
      </c>
      <c r="B128" s="47">
        <v>96770</v>
      </c>
      <c r="C128" s="47">
        <v>139252</v>
      </c>
      <c r="D128" s="47">
        <v>147566</v>
      </c>
      <c r="E128" s="47">
        <v>305423</v>
      </c>
      <c r="F128" s="47">
        <v>317081</v>
      </c>
      <c r="G128" s="47">
        <v>290502</v>
      </c>
      <c r="H128" s="47">
        <v>228135</v>
      </c>
      <c r="I128" s="47">
        <v>117610</v>
      </c>
      <c r="J128" s="47">
        <v>36010</v>
      </c>
      <c r="K128" s="47">
        <v>1678350</v>
      </c>
      <c r="L128" s="121"/>
      <c r="N128" s="118"/>
    </row>
    <row r="129" spans="1:15" x14ac:dyDescent="0.2">
      <c r="A129" s="26" t="s">
        <v>162</v>
      </c>
      <c r="B129" s="47">
        <v>97836</v>
      </c>
      <c r="C129" s="47">
        <v>140690</v>
      </c>
      <c r="D129" s="47">
        <v>150590</v>
      </c>
      <c r="E129" s="47">
        <v>313026</v>
      </c>
      <c r="F129" s="47">
        <v>321161</v>
      </c>
      <c r="G129" s="47">
        <v>294677</v>
      </c>
      <c r="H129" s="47">
        <v>235607</v>
      </c>
      <c r="I129" s="47">
        <v>125489</v>
      </c>
      <c r="J129" s="47">
        <v>38133</v>
      </c>
      <c r="K129" s="47">
        <v>1717209</v>
      </c>
      <c r="L129" s="121"/>
      <c r="N129" s="118"/>
    </row>
    <row r="130" spans="1:15" x14ac:dyDescent="0.2">
      <c r="A130" s="26" t="s">
        <v>163</v>
      </c>
      <c r="B130" s="47">
        <v>99089</v>
      </c>
      <c r="C130" s="47">
        <v>141822</v>
      </c>
      <c r="D130" s="47">
        <v>154123</v>
      </c>
      <c r="E130" s="47">
        <v>320237</v>
      </c>
      <c r="F130" s="47">
        <v>324548</v>
      </c>
      <c r="G130" s="47">
        <v>298939</v>
      </c>
      <c r="H130" s="47">
        <v>239644</v>
      </c>
      <c r="I130" s="47">
        <v>137096</v>
      </c>
      <c r="J130" s="47">
        <v>41275</v>
      </c>
      <c r="K130" s="47">
        <v>1756773</v>
      </c>
      <c r="L130" s="121"/>
      <c r="N130" s="118"/>
    </row>
    <row r="131" spans="1:15" x14ac:dyDescent="0.2">
      <c r="A131" s="26" t="s">
        <v>164</v>
      </c>
      <c r="B131" s="47">
        <v>103497</v>
      </c>
      <c r="C131" s="47">
        <v>143387</v>
      </c>
      <c r="D131" s="47">
        <v>156619</v>
      </c>
      <c r="E131" s="47">
        <v>326865</v>
      </c>
      <c r="F131" s="47">
        <v>327863</v>
      </c>
      <c r="G131" s="47">
        <v>302313</v>
      </c>
      <c r="H131" s="47">
        <v>245796</v>
      </c>
      <c r="I131" s="47">
        <v>146916</v>
      </c>
      <c r="J131" s="47">
        <v>44124</v>
      </c>
      <c r="K131" s="47">
        <v>1797380</v>
      </c>
      <c r="L131" s="121"/>
      <c r="M131" s="125"/>
    </row>
    <row r="132" spans="1:15" x14ac:dyDescent="0.2">
      <c r="A132" s="26" t="s">
        <v>165</v>
      </c>
      <c r="B132" s="47">
        <v>101761</v>
      </c>
      <c r="C132" s="47">
        <v>143845</v>
      </c>
      <c r="D132" s="47">
        <v>158279</v>
      </c>
      <c r="E132" s="47">
        <v>334045</v>
      </c>
      <c r="F132" s="47">
        <v>329934</v>
      </c>
      <c r="G132" s="47">
        <v>306705</v>
      </c>
      <c r="H132" s="47">
        <v>252434</v>
      </c>
      <c r="I132" s="47">
        <v>156322</v>
      </c>
      <c r="J132" s="47">
        <v>47429</v>
      </c>
      <c r="K132" s="47">
        <v>1830754</v>
      </c>
      <c r="L132" s="121"/>
    </row>
    <row r="133" spans="1:15" x14ac:dyDescent="0.2">
      <c r="A133" s="26" t="s">
        <v>166</v>
      </c>
      <c r="B133" s="47">
        <v>103730</v>
      </c>
      <c r="C133" s="47">
        <v>145962</v>
      </c>
      <c r="D133" s="47">
        <v>160716</v>
      </c>
      <c r="E133" s="47">
        <v>343548</v>
      </c>
      <c r="F133" s="47">
        <v>333499</v>
      </c>
      <c r="G133" s="47">
        <v>312503</v>
      </c>
      <c r="H133" s="47">
        <v>258884</v>
      </c>
      <c r="I133" s="47">
        <v>165880</v>
      </c>
      <c r="J133" s="47">
        <v>50135</v>
      </c>
      <c r="K133" s="47">
        <v>1874857</v>
      </c>
      <c r="L133" s="121"/>
    </row>
    <row r="134" spans="1:15" x14ac:dyDescent="0.2">
      <c r="A134" s="26" t="s">
        <v>168</v>
      </c>
      <c r="B134" s="47">
        <v>106317</v>
      </c>
      <c r="C134" s="47">
        <v>149224</v>
      </c>
      <c r="D134" s="47">
        <v>163078</v>
      </c>
      <c r="E134" s="47">
        <v>352118</v>
      </c>
      <c r="F134" s="47">
        <v>335323</v>
      </c>
      <c r="G134" s="47">
        <v>319486</v>
      </c>
      <c r="H134" s="47">
        <v>267152</v>
      </c>
      <c r="I134" s="47">
        <v>175838</v>
      </c>
      <c r="J134" s="47">
        <v>53602</v>
      </c>
      <c r="K134" s="47">
        <v>1922138</v>
      </c>
      <c r="L134" s="121"/>
    </row>
    <row r="135" spans="1:15" x14ac:dyDescent="0.2">
      <c r="A135" s="26" t="s">
        <v>195</v>
      </c>
      <c r="B135" s="47">
        <v>109166</v>
      </c>
      <c r="C135" s="47">
        <v>151169</v>
      </c>
      <c r="D135" s="47">
        <v>164543</v>
      </c>
      <c r="E135" s="47">
        <v>359620</v>
      </c>
      <c r="F135" s="47">
        <v>339284</v>
      </c>
      <c r="G135" s="47">
        <v>325990</v>
      </c>
      <c r="H135" s="47">
        <v>275631</v>
      </c>
      <c r="I135" s="47">
        <v>184690</v>
      </c>
      <c r="J135" s="47">
        <v>58156</v>
      </c>
      <c r="K135" s="47">
        <v>1968249</v>
      </c>
      <c r="L135" s="121"/>
    </row>
    <row r="136" spans="1:15" x14ac:dyDescent="0.2">
      <c r="A136" s="26" t="s">
        <v>196</v>
      </c>
      <c r="B136" s="47">
        <v>113803</v>
      </c>
      <c r="C136" s="47">
        <v>152270</v>
      </c>
      <c r="D136" s="47">
        <v>165806</v>
      </c>
      <c r="E136" s="47">
        <v>363897</v>
      </c>
      <c r="F136" s="47">
        <v>344430</v>
      </c>
      <c r="G136" s="47">
        <v>330442</v>
      </c>
      <c r="H136" s="47">
        <v>283022</v>
      </c>
      <c r="I136" s="47">
        <v>192974</v>
      </c>
      <c r="J136" s="47">
        <v>62117</v>
      </c>
      <c r="K136" s="47">
        <v>2008761</v>
      </c>
      <c r="L136" s="121"/>
    </row>
    <row r="137" spans="1:15" x14ac:dyDescent="0.2">
      <c r="A137" s="26" t="s">
        <v>210</v>
      </c>
      <c r="B137" s="47">
        <v>119327</v>
      </c>
      <c r="C137" s="47">
        <v>154612</v>
      </c>
      <c r="D137" s="47">
        <v>169238</v>
      </c>
      <c r="E137" s="47">
        <v>371114</v>
      </c>
      <c r="F137" s="47">
        <v>352831</v>
      </c>
      <c r="G137" s="47">
        <v>334893</v>
      </c>
      <c r="H137" s="47">
        <v>289638</v>
      </c>
      <c r="I137" s="47">
        <v>199721</v>
      </c>
      <c r="J137" s="47">
        <v>67426</v>
      </c>
      <c r="K137" s="47">
        <v>2058800</v>
      </c>
      <c r="L137" s="121"/>
    </row>
    <row r="138" spans="1:15" x14ac:dyDescent="0.2">
      <c r="A138" s="26" t="s">
        <v>222</v>
      </c>
      <c r="B138" s="47">
        <v>124286</v>
      </c>
      <c r="C138" s="47">
        <v>158124</v>
      </c>
      <c r="D138" s="47">
        <v>173926</v>
      </c>
      <c r="E138" s="47">
        <v>379279</v>
      </c>
      <c r="F138" s="47">
        <v>361784</v>
      </c>
      <c r="G138" s="47">
        <v>339732</v>
      </c>
      <c r="H138" s="47">
        <v>294198</v>
      </c>
      <c r="I138" s="47">
        <v>205962</v>
      </c>
      <c r="J138" s="47">
        <v>72921</v>
      </c>
      <c r="K138" s="47">
        <v>2110212</v>
      </c>
      <c r="L138" s="121"/>
    </row>
    <row r="139" spans="1:15" x14ac:dyDescent="0.2">
      <c r="A139" s="19" t="s">
        <v>167</v>
      </c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</row>
    <row r="140" spans="1:15" x14ac:dyDescent="0.2">
      <c r="A140" s="26" t="s">
        <v>156</v>
      </c>
      <c r="B140" s="47">
        <v>96949</v>
      </c>
      <c r="C140" s="47">
        <v>135188</v>
      </c>
      <c r="D140" s="47">
        <v>148533</v>
      </c>
      <c r="E140" s="47">
        <v>300453</v>
      </c>
      <c r="F140" s="47">
        <v>305891</v>
      </c>
      <c r="G140" s="47">
        <v>271547</v>
      </c>
      <c r="H140" s="47">
        <v>209880</v>
      </c>
      <c r="I140" s="47">
        <v>105119</v>
      </c>
      <c r="J140" s="47">
        <v>39327</v>
      </c>
      <c r="K140" s="47">
        <v>1612887</v>
      </c>
      <c r="L140" s="121"/>
    </row>
    <row r="141" spans="1:15" x14ac:dyDescent="0.2">
      <c r="A141" s="26" t="s">
        <v>157</v>
      </c>
      <c r="B141" s="47">
        <v>98754</v>
      </c>
      <c r="C141" s="47">
        <v>140007</v>
      </c>
      <c r="D141" s="47">
        <v>155769</v>
      </c>
      <c r="E141" s="47">
        <v>308402</v>
      </c>
      <c r="F141" s="47">
        <v>316609</v>
      </c>
      <c r="G141" s="47">
        <v>280258</v>
      </c>
      <c r="H141" s="47">
        <v>219737</v>
      </c>
      <c r="I141" s="47">
        <v>110136</v>
      </c>
      <c r="J141" s="47">
        <v>42349</v>
      </c>
      <c r="K141" s="47">
        <v>1672021</v>
      </c>
      <c r="L141" s="121"/>
      <c r="N141" s="118"/>
      <c r="O141" s="125"/>
    </row>
    <row r="142" spans="1:15" x14ac:dyDescent="0.2">
      <c r="A142" s="26" t="s">
        <v>158</v>
      </c>
      <c r="B142" s="47">
        <v>97569</v>
      </c>
      <c r="C142" s="47">
        <v>139312</v>
      </c>
      <c r="D142" s="47">
        <v>155589</v>
      </c>
      <c r="E142" s="47">
        <v>308626</v>
      </c>
      <c r="F142" s="47">
        <v>320873</v>
      </c>
      <c r="G142" s="47">
        <v>286986</v>
      </c>
      <c r="H142" s="47">
        <v>228101</v>
      </c>
      <c r="I142" s="47">
        <v>116553</v>
      </c>
      <c r="J142" s="47">
        <v>45527</v>
      </c>
      <c r="K142" s="47">
        <v>1699136</v>
      </c>
      <c r="L142" s="121"/>
      <c r="N142" s="118"/>
      <c r="O142" s="125"/>
    </row>
    <row r="143" spans="1:15" x14ac:dyDescent="0.2">
      <c r="A143" s="26" t="s">
        <v>159</v>
      </c>
      <c r="B143" s="47">
        <v>97514</v>
      </c>
      <c r="C143" s="47">
        <v>142117</v>
      </c>
      <c r="D143" s="47">
        <v>157590</v>
      </c>
      <c r="E143" s="47">
        <v>313499</v>
      </c>
      <c r="F143" s="47">
        <v>325075</v>
      </c>
      <c r="G143" s="47">
        <v>293339</v>
      </c>
      <c r="H143" s="47">
        <v>236053</v>
      </c>
      <c r="I143" s="47">
        <v>121277</v>
      </c>
      <c r="J143" s="47">
        <v>47890</v>
      </c>
      <c r="K143" s="47">
        <v>1734354</v>
      </c>
      <c r="L143" s="121"/>
      <c r="N143" s="118"/>
      <c r="O143" s="125"/>
    </row>
    <row r="144" spans="1:15" x14ac:dyDescent="0.2">
      <c r="A144" s="26" t="s">
        <v>160</v>
      </c>
      <c r="B144" s="47">
        <v>96958</v>
      </c>
      <c r="C144" s="47">
        <v>141315</v>
      </c>
      <c r="D144" s="47">
        <v>153301</v>
      </c>
      <c r="E144" s="47">
        <v>309645</v>
      </c>
      <c r="F144" s="47">
        <v>322040</v>
      </c>
      <c r="G144" s="47">
        <v>295354</v>
      </c>
      <c r="H144" s="47">
        <v>238600</v>
      </c>
      <c r="I144" s="47">
        <v>127248</v>
      </c>
      <c r="J144" s="47">
        <v>49987</v>
      </c>
      <c r="K144" s="47">
        <v>1734448</v>
      </c>
      <c r="L144" s="121"/>
      <c r="N144" s="118"/>
      <c r="O144" s="125"/>
    </row>
    <row r="145" spans="1:15" x14ac:dyDescent="0.2">
      <c r="A145" s="26" t="s">
        <v>161</v>
      </c>
      <c r="B145" s="47">
        <v>97176</v>
      </c>
      <c r="C145" s="47">
        <v>142628</v>
      </c>
      <c r="D145" s="47">
        <v>152981</v>
      </c>
      <c r="E145" s="47">
        <v>312395</v>
      </c>
      <c r="F145" s="47">
        <v>323433</v>
      </c>
      <c r="G145" s="47">
        <v>298649</v>
      </c>
      <c r="H145" s="47">
        <v>243220</v>
      </c>
      <c r="I145" s="47">
        <v>134572</v>
      </c>
      <c r="J145" s="47">
        <v>48767</v>
      </c>
      <c r="K145" s="47">
        <v>1753821</v>
      </c>
      <c r="L145" s="121"/>
      <c r="N145" s="118"/>
      <c r="O145" s="125"/>
    </row>
    <row r="146" spans="1:15" x14ac:dyDescent="0.2">
      <c r="A146" s="26" t="s">
        <v>162</v>
      </c>
      <c r="B146" s="47">
        <v>98832</v>
      </c>
      <c r="C146" s="47">
        <v>144309</v>
      </c>
      <c r="D146" s="47">
        <v>155570</v>
      </c>
      <c r="E146" s="47">
        <v>318931</v>
      </c>
      <c r="F146" s="47">
        <v>326575</v>
      </c>
      <c r="G146" s="47">
        <v>301972</v>
      </c>
      <c r="H146" s="47">
        <v>249033</v>
      </c>
      <c r="I146" s="47">
        <v>141965</v>
      </c>
      <c r="J146" s="47">
        <v>51310</v>
      </c>
      <c r="K146" s="47">
        <v>1788497</v>
      </c>
      <c r="L146" s="121"/>
      <c r="N146" s="118"/>
      <c r="O146" s="125"/>
    </row>
    <row r="147" spans="1:15" x14ac:dyDescent="0.2">
      <c r="A147" s="26" t="s">
        <v>163</v>
      </c>
      <c r="B147" s="47">
        <v>100398</v>
      </c>
      <c r="C147" s="47">
        <v>146206</v>
      </c>
      <c r="D147" s="47">
        <v>158194</v>
      </c>
      <c r="E147" s="47">
        <v>325190</v>
      </c>
      <c r="F147" s="47">
        <v>329186</v>
      </c>
      <c r="G147" s="47">
        <v>305666</v>
      </c>
      <c r="H147" s="47">
        <v>251404</v>
      </c>
      <c r="I147" s="47">
        <v>153264</v>
      </c>
      <c r="J147" s="47">
        <v>54555</v>
      </c>
      <c r="K147" s="47">
        <v>1824063</v>
      </c>
      <c r="L147" s="121"/>
      <c r="N147" s="118"/>
      <c r="O147" s="125"/>
    </row>
    <row r="148" spans="1:15" x14ac:dyDescent="0.2">
      <c r="A148" s="26" t="s">
        <v>164</v>
      </c>
      <c r="B148" s="47">
        <v>105133</v>
      </c>
      <c r="C148" s="47">
        <v>147522</v>
      </c>
      <c r="D148" s="47">
        <v>160839</v>
      </c>
      <c r="E148" s="47">
        <v>331231</v>
      </c>
      <c r="F148" s="47">
        <v>330664</v>
      </c>
      <c r="G148" s="47">
        <v>309335</v>
      </c>
      <c r="H148" s="47">
        <v>255419</v>
      </c>
      <c r="I148" s="47">
        <v>162698</v>
      </c>
      <c r="J148" s="47">
        <v>57422</v>
      </c>
      <c r="K148" s="47">
        <v>1860263</v>
      </c>
      <c r="L148" s="121"/>
      <c r="M148" s="125"/>
      <c r="N148" s="118"/>
      <c r="O148" s="125"/>
    </row>
    <row r="149" spans="1:15" x14ac:dyDescent="0.2">
      <c r="A149" s="26" t="s">
        <v>165</v>
      </c>
      <c r="B149" s="47">
        <v>103082</v>
      </c>
      <c r="C149" s="47">
        <v>147215</v>
      </c>
      <c r="D149" s="47">
        <v>163417</v>
      </c>
      <c r="E149" s="47">
        <v>337367</v>
      </c>
      <c r="F149" s="47">
        <v>332002</v>
      </c>
      <c r="G149" s="47">
        <v>313025</v>
      </c>
      <c r="H149" s="47">
        <v>260210</v>
      </c>
      <c r="I149" s="47">
        <v>171489</v>
      </c>
      <c r="J149" s="47">
        <v>61205</v>
      </c>
      <c r="K149" s="47">
        <v>1889012</v>
      </c>
      <c r="L149" s="121"/>
    </row>
    <row r="150" spans="1:15" x14ac:dyDescent="0.2">
      <c r="A150" s="26" t="s">
        <v>166</v>
      </c>
      <c r="B150" s="47">
        <v>105052</v>
      </c>
      <c r="C150" s="47">
        <v>149992</v>
      </c>
      <c r="D150" s="47">
        <v>166612</v>
      </c>
      <c r="E150" s="47">
        <v>346485</v>
      </c>
      <c r="F150" s="47">
        <v>336029</v>
      </c>
      <c r="G150" s="47">
        <v>318393</v>
      </c>
      <c r="H150" s="47">
        <v>265968</v>
      </c>
      <c r="I150" s="47">
        <v>179843</v>
      </c>
      <c r="J150" s="47">
        <v>63166</v>
      </c>
      <c r="K150" s="47">
        <v>1931540</v>
      </c>
      <c r="L150" s="121"/>
    </row>
    <row r="151" spans="1:15" x14ac:dyDescent="0.2">
      <c r="A151" s="26" t="s">
        <v>168</v>
      </c>
      <c r="B151" s="47">
        <v>108028</v>
      </c>
      <c r="C151" s="47">
        <v>151715</v>
      </c>
      <c r="D151" s="47">
        <v>167404</v>
      </c>
      <c r="E151" s="47">
        <v>350958</v>
      </c>
      <c r="F151" s="47">
        <v>336241</v>
      </c>
      <c r="G151" s="47">
        <v>324349</v>
      </c>
      <c r="H151" s="47">
        <v>272581</v>
      </c>
      <c r="I151" s="47">
        <v>188482</v>
      </c>
      <c r="J151" s="47">
        <v>67089</v>
      </c>
      <c r="K151" s="47">
        <v>1966847</v>
      </c>
      <c r="L151" s="121"/>
    </row>
    <row r="152" spans="1:15" x14ac:dyDescent="0.2">
      <c r="A152" s="26" t="s">
        <v>195</v>
      </c>
      <c r="B152" s="47">
        <v>110829</v>
      </c>
      <c r="C152" s="47">
        <v>153158</v>
      </c>
      <c r="D152" s="47">
        <v>167736</v>
      </c>
      <c r="E152" s="47">
        <v>355424</v>
      </c>
      <c r="F152" s="47">
        <v>339782</v>
      </c>
      <c r="G152" s="47">
        <v>330142</v>
      </c>
      <c r="H152" s="47">
        <v>279798</v>
      </c>
      <c r="I152" s="47">
        <v>196401</v>
      </c>
      <c r="J152" s="47">
        <v>71618</v>
      </c>
      <c r="K152" s="47">
        <v>2004888</v>
      </c>
      <c r="L152" s="121"/>
    </row>
    <row r="153" spans="1:15" x14ac:dyDescent="0.2">
      <c r="A153" s="26" t="s">
        <v>196</v>
      </c>
      <c r="B153" s="47">
        <v>116554</v>
      </c>
      <c r="C153" s="47">
        <v>155177</v>
      </c>
      <c r="D153" s="47">
        <v>168903</v>
      </c>
      <c r="E153" s="47">
        <v>359210</v>
      </c>
      <c r="F153" s="47">
        <v>343798</v>
      </c>
      <c r="G153" s="47">
        <v>333972</v>
      </c>
      <c r="H153" s="47">
        <v>286412</v>
      </c>
      <c r="I153" s="47">
        <v>203708</v>
      </c>
      <c r="J153" s="47">
        <v>75228</v>
      </c>
      <c r="K153" s="47">
        <v>2042962</v>
      </c>
      <c r="L153" s="121"/>
    </row>
    <row r="154" spans="1:15" x14ac:dyDescent="0.2">
      <c r="A154" s="26" t="s">
        <v>210</v>
      </c>
      <c r="B154" s="47">
        <v>123238</v>
      </c>
      <c r="C154" s="47">
        <v>159803</v>
      </c>
      <c r="D154" s="47">
        <v>173322</v>
      </c>
      <c r="E154" s="47">
        <v>368228</v>
      </c>
      <c r="F154" s="47">
        <v>351290</v>
      </c>
      <c r="G154" s="47">
        <v>337954</v>
      </c>
      <c r="H154" s="47">
        <v>292834</v>
      </c>
      <c r="I154" s="47">
        <v>208696</v>
      </c>
      <c r="J154" s="47">
        <v>80785</v>
      </c>
      <c r="K154" s="47">
        <v>2096150</v>
      </c>
      <c r="L154" s="121"/>
    </row>
    <row r="155" spans="1:15" x14ac:dyDescent="0.2">
      <c r="A155" s="26" t="s">
        <v>222</v>
      </c>
      <c r="B155" s="47">
        <v>128847</v>
      </c>
      <c r="C155" s="47">
        <v>164243</v>
      </c>
      <c r="D155" s="47">
        <v>178745</v>
      </c>
      <c r="E155" s="47">
        <v>377012</v>
      </c>
      <c r="F155" s="47">
        <v>359098</v>
      </c>
      <c r="G155" s="47">
        <v>342406</v>
      </c>
      <c r="H155" s="47">
        <v>297331</v>
      </c>
      <c r="I155" s="47">
        <v>213268</v>
      </c>
      <c r="J155" s="47">
        <v>86043</v>
      </c>
      <c r="K155" s="47">
        <v>2146993</v>
      </c>
      <c r="L155" s="121"/>
    </row>
    <row r="156" spans="1:15" x14ac:dyDescent="0.2">
      <c r="A156" s="19" t="s">
        <v>234</v>
      </c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</row>
    <row r="157" spans="1:15" x14ac:dyDescent="0.2">
      <c r="A157" s="26" t="s">
        <v>156</v>
      </c>
      <c r="B157" s="47">
        <v>189988</v>
      </c>
      <c r="C157" s="47">
        <v>267487</v>
      </c>
      <c r="D157" s="47">
        <v>290949</v>
      </c>
      <c r="E157" s="47">
        <v>594225</v>
      </c>
      <c r="F157" s="47">
        <v>604367</v>
      </c>
      <c r="G157" s="47">
        <v>531965</v>
      </c>
      <c r="H157" s="47">
        <v>397086</v>
      </c>
      <c r="I157" s="47">
        <v>190742</v>
      </c>
      <c r="J157" s="47">
        <v>65532</v>
      </c>
      <c r="K157" s="47">
        <v>3132341</v>
      </c>
      <c r="L157" s="121"/>
    </row>
    <row r="158" spans="1:15" x14ac:dyDescent="0.2">
      <c r="A158" s="26" t="s">
        <v>157</v>
      </c>
      <c r="B158" s="47">
        <v>193307</v>
      </c>
      <c r="C158" s="47">
        <v>275332</v>
      </c>
      <c r="D158" s="47">
        <v>303071</v>
      </c>
      <c r="E158" s="47">
        <v>606511</v>
      </c>
      <c r="F158" s="47">
        <v>623699</v>
      </c>
      <c r="G158" s="47">
        <v>549372</v>
      </c>
      <c r="H158" s="47">
        <v>417684</v>
      </c>
      <c r="I158" s="47">
        <v>200880</v>
      </c>
      <c r="J158" s="47">
        <v>71083</v>
      </c>
      <c r="K158" s="47">
        <v>3240939</v>
      </c>
      <c r="L158" s="121"/>
    </row>
    <row r="159" spans="1:15" x14ac:dyDescent="0.2">
      <c r="A159" s="26" t="s">
        <v>158</v>
      </c>
      <c r="B159" s="47">
        <v>191183</v>
      </c>
      <c r="C159" s="47">
        <v>275461</v>
      </c>
      <c r="D159" s="47">
        <v>303843</v>
      </c>
      <c r="E159" s="47">
        <v>606885</v>
      </c>
      <c r="F159" s="47">
        <v>632583</v>
      </c>
      <c r="G159" s="47">
        <v>564245</v>
      </c>
      <c r="H159" s="47">
        <v>435685</v>
      </c>
      <c r="I159" s="47">
        <v>214300</v>
      </c>
      <c r="J159" s="47">
        <v>76819</v>
      </c>
      <c r="K159" s="47">
        <v>3301004</v>
      </c>
      <c r="L159" s="121"/>
      <c r="O159" s="125"/>
    </row>
    <row r="160" spans="1:15" x14ac:dyDescent="0.2">
      <c r="A160" s="26" t="s">
        <v>159</v>
      </c>
      <c r="B160" s="47">
        <v>192768</v>
      </c>
      <c r="C160" s="47">
        <v>281149</v>
      </c>
      <c r="D160" s="47">
        <v>307302</v>
      </c>
      <c r="E160" s="47">
        <v>616463</v>
      </c>
      <c r="F160" s="47">
        <v>641107</v>
      </c>
      <c r="G160" s="47">
        <v>577421</v>
      </c>
      <c r="H160" s="47">
        <v>452575</v>
      </c>
      <c r="I160" s="47">
        <v>224632</v>
      </c>
      <c r="J160" s="47">
        <v>81407</v>
      </c>
      <c r="K160" s="47">
        <v>3374824</v>
      </c>
      <c r="L160" s="121"/>
      <c r="O160" s="125"/>
    </row>
    <row r="161" spans="1:15" x14ac:dyDescent="0.2">
      <c r="A161" s="26" t="s">
        <v>160</v>
      </c>
      <c r="B161" s="47">
        <v>192647</v>
      </c>
      <c r="C161" s="47">
        <v>279457</v>
      </c>
      <c r="D161" s="47">
        <v>300027</v>
      </c>
      <c r="E161" s="47">
        <v>610774</v>
      </c>
      <c r="F161" s="47">
        <v>636773</v>
      </c>
      <c r="G161" s="47">
        <v>581850</v>
      </c>
      <c r="H161" s="47">
        <v>459941</v>
      </c>
      <c r="I161" s="47">
        <v>237065</v>
      </c>
      <c r="J161" s="47">
        <v>85737</v>
      </c>
      <c r="K161" s="47">
        <v>3384271</v>
      </c>
      <c r="L161" s="121"/>
      <c r="O161" s="125"/>
    </row>
    <row r="162" spans="1:15" x14ac:dyDescent="0.2">
      <c r="A162" s="26" t="s">
        <v>161</v>
      </c>
      <c r="B162" s="47">
        <v>193946</v>
      </c>
      <c r="C162" s="47">
        <v>281880</v>
      </c>
      <c r="D162" s="47">
        <v>300547</v>
      </c>
      <c r="E162" s="47">
        <v>617818</v>
      </c>
      <c r="F162" s="47">
        <v>640514</v>
      </c>
      <c r="G162" s="47">
        <v>589151</v>
      </c>
      <c r="H162" s="47">
        <v>471355</v>
      </c>
      <c r="I162" s="47">
        <v>252182</v>
      </c>
      <c r="J162" s="47">
        <v>84777</v>
      </c>
      <c r="K162" s="47">
        <v>3432171</v>
      </c>
      <c r="L162" s="121"/>
      <c r="O162" s="125"/>
    </row>
    <row r="163" spans="1:15" x14ac:dyDescent="0.2">
      <c r="A163" s="26" t="s">
        <v>162</v>
      </c>
      <c r="B163" s="47">
        <v>196668</v>
      </c>
      <c r="C163" s="47">
        <v>284999</v>
      </c>
      <c r="D163" s="47">
        <v>306160</v>
      </c>
      <c r="E163" s="47">
        <v>631957</v>
      </c>
      <c r="F163" s="47">
        <v>647736</v>
      </c>
      <c r="G163" s="47">
        <v>596649</v>
      </c>
      <c r="H163" s="47">
        <v>484640</v>
      </c>
      <c r="I163" s="47">
        <v>267454</v>
      </c>
      <c r="J163" s="47">
        <v>89443</v>
      </c>
      <c r="K163" s="47">
        <v>3505706</v>
      </c>
      <c r="L163" s="121"/>
    </row>
    <row r="164" spans="1:15" x14ac:dyDescent="0.2">
      <c r="A164" s="26" t="s">
        <v>163</v>
      </c>
      <c r="B164" s="47">
        <v>199487</v>
      </c>
      <c r="C164" s="47">
        <v>288028</v>
      </c>
      <c r="D164" s="47">
        <v>312317</v>
      </c>
      <c r="E164" s="47">
        <v>645427</v>
      </c>
      <c r="F164" s="47">
        <v>653734</v>
      </c>
      <c r="G164" s="47">
        <v>604605</v>
      </c>
      <c r="H164" s="47">
        <v>491048</v>
      </c>
      <c r="I164" s="47">
        <v>290360</v>
      </c>
      <c r="J164" s="47">
        <v>95830</v>
      </c>
      <c r="K164" s="47">
        <v>3580836</v>
      </c>
      <c r="L164" s="121"/>
    </row>
    <row r="165" spans="1:15" x14ac:dyDescent="0.2">
      <c r="A165" s="26" t="s">
        <v>164</v>
      </c>
      <c r="B165" s="47">
        <v>208630</v>
      </c>
      <c r="C165" s="47">
        <v>290909</v>
      </c>
      <c r="D165" s="47">
        <v>317458</v>
      </c>
      <c r="E165" s="47">
        <v>658096</v>
      </c>
      <c r="F165" s="47">
        <v>658527</v>
      </c>
      <c r="G165" s="47">
        <v>611648</v>
      </c>
      <c r="H165" s="47">
        <v>501215</v>
      </c>
      <c r="I165" s="47">
        <v>309614</v>
      </c>
      <c r="J165" s="47">
        <v>101546</v>
      </c>
      <c r="K165" s="47">
        <v>3657643</v>
      </c>
      <c r="L165" s="121"/>
    </row>
    <row r="166" spans="1:15" x14ac:dyDescent="0.2">
      <c r="A166" s="26" t="s">
        <v>165</v>
      </c>
      <c r="B166" s="47">
        <v>204843</v>
      </c>
      <c r="C166" s="47">
        <v>291060</v>
      </c>
      <c r="D166" s="47">
        <v>321696</v>
      </c>
      <c r="E166" s="47">
        <v>671412</v>
      </c>
      <c r="F166" s="47">
        <v>661936</v>
      </c>
      <c r="G166" s="47">
        <v>619730</v>
      </c>
      <c r="H166" s="47">
        <v>512644</v>
      </c>
      <c r="I166" s="47">
        <v>327811</v>
      </c>
      <c r="J166" s="47">
        <v>108634</v>
      </c>
      <c r="K166" s="47">
        <v>3719766</v>
      </c>
      <c r="L166" s="121"/>
    </row>
    <row r="167" spans="1:15" x14ac:dyDescent="0.2">
      <c r="A167" s="26" t="s">
        <v>166</v>
      </c>
      <c r="B167" s="47">
        <v>208782</v>
      </c>
      <c r="C167" s="47">
        <v>295954</v>
      </c>
      <c r="D167" s="47">
        <v>327328</v>
      </c>
      <c r="E167" s="47">
        <v>690033</v>
      </c>
      <c r="F167" s="47">
        <v>669528</v>
      </c>
      <c r="G167" s="47">
        <v>630896</v>
      </c>
      <c r="H167" s="47">
        <v>524852</v>
      </c>
      <c r="I167" s="47">
        <v>345723</v>
      </c>
      <c r="J167" s="47">
        <v>113301</v>
      </c>
      <c r="K167" s="47">
        <v>3806397</v>
      </c>
      <c r="L167" s="121"/>
    </row>
    <row r="168" spans="1:15" x14ac:dyDescent="0.2">
      <c r="A168" s="26" t="s">
        <v>168</v>
      </c>
      <c r="B168" s="47">
        <v>214345</v>
      </c>
      <c r="C168" s="47">
        <v>300939</v>
      </c>
      <c r="D168" s="47">
        <v>330482</v>
      </c>
      <c r="E168" s="47">
        <v>703077</v>
      </c>
      <c r="F168" s="47">
        <v>671564</v>
      </c>
      <c r="G168" s="47">
        <v>643835</v>
      </c>
      <c r="H168" s="47">
        <v>539733</v>
      </c>
      <c r="I168" s="47">
        <v>364320</v>
      </c>
      <c r="J168" s="47">
        <v>120691</v>
      </c>
      <c r="K168" s="47">
        <v>3888986</v>
      </c>
      <c r="L168" s="121"/>
    </row>
    <row r="169" spans="1:15" x14ac:dyDescent="0.2">
      <c r="A169" s="26" t="s">
        <v>195</v>
      </c>
      <c r="B169" s="47">
        <v>219995</v>
      </c>
      <c r="C169" s="47">
        <v>304327</v>
      </c>
      <c r="D169" s="47">
        <v>332279</v>
      </c>
      <c r="E169" s="47">
        <v>715044</v>
      </c>
      <c r="F169" s="47">
        <v>679067</v>
      </c>
      <c r="G169" s="47">
        <v>656132</v>
      </c>
      <c r="H169" s="47">
        <v>555429</v>
      </c>
      <c r="I169" s="47">
        <v>381091</v>
      </c>
      <c r="J169" s="47">
        <v>129774</v>
      </c>
      <c r="K169" s="47">
        <v>3973138</v>
      </c>
      <c r="L169" s="121"/>
    </row>
    <row r="170" spans="1:15" x14ac:dyDescent="0.2">
      <c r="A170" s="26" t="s">
        <v>196</v>
      </c>
      <c r="B170" s="47">
        <v>230357</v>
      </c>
      <c r="C170" s="47">
        <v>307447</v>
      </c>
      <c r="D170" s="47">
        <v>334709</v>
      </c>
      <c r="E170" s="47">
        <v>723108</v>
      </c>
      <c r="F170" s="47">
        <v>688228</v>
      </c>
      <c r="G170" s="47">
        <v>664414</v>
      </c>
      <c r="H170" s="47">
        <v>569434</v>
      </c>
      <c r="I170" s="47">
        <v>396682</v>
      </c>
      <c r="J170" s="47">
        <v>137345</v>
      </c>
      <c r="K170" s="47">
        <v>4051724</v>
      </c>
      <c r="L170" s="121"/>
    </row>
    <row r="171" spans="1:15" x14ac:dyDescent="0.2">
      <c r="A171" s="26" t="s">
        <v>210</v>
      </c>
      <c r="B171" s="47">
        <v>242566</v>
      </c>
      <c r="C171" s="47">
        <v>314415</v>
      </c>
      <c r="D171" s="47">
        <v>342560</v>
      </c>
      <c r="E171" s="47">
        <v>739343</v>
      </c>
      <c r="F171" s="47">
        <v>704121</v>
      </c>
      <c r="G171" s="47">
        <v>672847</v>
      </c>
      <c r="H171" s="47">
        <v>582472</v>
      </c>
      <c r="I171" s="47">
        <v>408417</v>
      </c>
      <c r="J171" s="47">
        <v>148211</v>
      </c>
      <c r="K171" s="47">
        <v>4154952</v>
      </c>
      <c r="L171" s="121"/>
    </row>
    <row r="172" spans="1:15" x14ac:dyDescent="0.2">
      <c r="A172" s="30" t="s">
        <v>222</v>
      </c>
      <c r="B172" s="155">
        <v>253134</v>
      </c>
      <c r="C172" s="155">
        <v>322367</v>
      </c>
      <c r="D172" s="155">
        <v>352671</v>
      </c>
      <c r="E172" s="155">
        <v>756291</v>
      </c>
      <c r="F172" s="155">
        <v>720882</v>
      </c>
      <c r="G172" s="155">
        <v>682138</v>
      </c>
      <c r="H172" s="155">
        <v>591529</v>
      </c>
      <c r="I172" s="155">
        <v>419230</v>
      </c>
      <c r="J172" s="155">
        <v>158964</v>
      </c>
      <c r="K172" s="155">
        <v>4257206</v>
      </c>
      <c r="L172" s="121"/>
    </row>
    <row r="173" spans="1:15" x14ac:dyDescent="0.2">
      <c r="A173" s="26" t="s">
        <v>18</v>
      </c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</row>
    <row r="174" spans="1:15" x14ac:dyDescent="0.2">
      <c r="A174" s="19" t="s">
        <v>242</v>
      </c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</row>
    <row r="177" spans="1:14" x14ac:dyDescent="0.2">
      <c r="A177" s="6" t="s">
        <v>257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4" x14ac:dyDescent="0.2">
      <c r="A178" s="206" t="s">
        <v>154</v>
      </c>
      <c r="B178" s="208" t="s">
        <v>224</v>
      </c>
      <c r="C178" s="208"/>
      <c r="D178" s="208"/>
      <c r="E178" s="208"/>
      <c r="F178" s="208"/>
      <c r="G178" s="208"/>
      <c r="H178" s="208"/>
      <c r="I178" s="208"/>
      <c r="J178" s="208"/>
      <c r="K178" s="208"/>
    </row>
    <row r="179" spans="1:14" x14ac:dyDescent="0.2">
      <c r="A179" s="209"/>
      <c r="B179" s="9" t="s">
        <v>225</v>
      </c>
      <c r="C179" s="9" t="s">
        <v>226</v>
      </c>
      <c r="D179" s="9" t="s">
        <v>227</v>
      </c>
      <c r="E179" s="9" t="s">
        <v>228</v>
      </c>
      <c r="F179" s="9" t="s">
        <v>229</v>
      </c>
      <c r="G179" s="9" t="s">
        <v>230</v>
      </c>
      <c r="H179" s="9" t="s">
        <v>231</v>
      </c>
      <c r="I179" s="9" t="s">
        <v>232</v>
      </c>
      <c r="J179" s="9" t="s">
        <v>233</v>
      </c>
      <c r="K179" s="9" t="s">
        <v>7</v>
      </c>
    </row>
    <row r="180" spans="1:14" x14ac:dyDescent="0.2">
      <c r="A180" s="123" t="s">
        <v>155</v>
      </c>
      <c r="B180" s="8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5"/>
      <c r="M180" s="11"/>
    </row>
    <row r="181" spans="1:14" x14ac:dyDescent="0.2">
      <c r="A181" s="26" t="s">
        <v>156</v>
      </c>
      <c r="B181" s="125">
        <v>32569</v>
      </c>
      <c r="C181" s="125">
        <v>44088</v>
      </c>
      <c r="D181" s="125">
        <v>45925</v>
      </c>
      <c r="E181" s="125">
        <v>94811</v>
      </c>
      <c r="F181" s="125">
        <v>106125</v>
      </c>
      <c r="G181" s="125">
        <v>99565</v>
      </c>
      <c r="H181" s="125">
        <v>72861</v>
      </c>
      <c r="I181" s="125">
        <v>35314</v>
      </c>
      <c r="J181" s="125">
        <v>13708</v>
      </c>
      <c r="K181" s="125">
        <v>544966</v>
      </c>
      <c r="L181" s="121"/>
      <c r="M181" s="11"/>
    </row>
    <row r="182" spans="1:14" x14ac:dyDescent="0.2">
      <c r="A182" s="26" t="s">
        <v>157</v>
      </c>
      <c r="B182" s="125">
        <v>32434</v>
      </c>
      <c r="C182" s="125">
        <v>44430</v>
      </c>
      <c r="D182" s="125">
        <v>46939</v>
      </c>
      <c r="E182" s="125">
        <v>93918</v>
      </c>
      <c r="F182" s="125">
        <v>106017</v>
      </c>
      <c r="G182" s="125">
        <v>100558</v>
      </c>
      <c r="H182" s="125">
        <v>76144</v>
      </c>
      <c r="I182" s="125">
        <v>35929</v>
      </c>
      <c r="J182" s="125">
        <v>13967</v>
      </c>
      <c r="K182" s="125">
        <v>550336</v>
      </c>
      <c r="L182" s="121"/>
    </row>
    <row r="183" spans="1:14" x14ac:dyDescent="0.2">
      <c r="A183" s="26" t="s">
        <v>158</v>
      </c>
      <c r="B183" s="125">
        <v>31889</v>
      </c>
      <c r="C183" s="125">
        <v>44671</v>
      </c>
      <c r="D183" s="125">
        <v>47536</v>
      </c>
      <c r="E183" s="125">
        <v>93976</v>
      </c>
      <c r="F183" s="125">
        <v>106366</v>
      </c>
      <c r="G183" s="125">
        <v>101726</v>
      </c>
      <c r="H183" s="125">
        <v>79185</v>
      </c>
      <c r="I183" s="125">
        <v>37841</v>
      </c>
      <c r="J183" s="125">
        <v>14355</v>
      </c>
      <c r="K183" s="125">
        <v>557545</v>
      </c>
      <c r="L183" s="121"/>
      <c r="N183" s="134"/>
    </row>
    <row r="184" spans="1:14" x14ac:dyDescent="0.2">
      <c r="A184" s="26" t="s">
        <v>159</v>
      </c>
      <c r="B184" s="125">
        <v>31954</v>
      </c>
      <c r="C184" s="125">
        <v>46009</v>
      </c>
      <c r="D184" s="125">
        <v>48541</v>
      </c>
      <c r="E184" s="125">
        <v>95431</v>
      </c>
      <c r="F184" s="125">
        <v>107309</v>
      </c>
      <c r="G184" s="125">
        <v>103706</v>
      </c>
      <c r="H184" s="125">
        <v>83256</v>
      </c>
      <c r="I184" s="125">
        <v>40661</v>
      </c>
      <c r="J184" s="125">
        <v>15605</v>
      </c>
      <c r="K184" s="125">
        <v>572472</v>
      </c>
      <c r="L184" s="121"/>
    </row>
    <row r="185" spans="1:14" x14ac:dyDescent="0.2">
      <c r="A185" s="26" t="s">
        <v>160</v>
      </c>
      <c r="B185" s="125">
        <v>31678</v>
      </c>
      <c r="C185" s="125">
        <v>46325</v>
      </c>
      <c r="D185" s="125">
        <v>48299</v>
      </c>
      <c r="E185" s="125">
        <v>96716</v>
      </c>
      <c r="F185" s="125">
        <v>106450</v>
      </c>
      <c r="G185" s="125">
        <v>105093</v>
      </c>
      <c r="H185" s="125">
        <v>86145</v>
      </c>
      <c r="I185" s="125">
        <v>43074</v>
      </c>
      <c r="J185" s="125">
        <v>16024</v>
      </c>
      <c r="K185" s="125">
        <v>579804</v>
      </c>
      <c r="L185" s="121"/>
    </row>
    <row r="186" spans="1:14" x14ac:dyDescent="0.2">
      <c r="A186" s="26" t="s">
        <v>161</v>
      </c>
      <c r="B186" s="125">
        <v>31371</v>
      </c>
      <c r="C186" s="125">
        <v>46291</v>
      </c>
      <c r="D186" s="125">
        <v>48317</v>
      </c>
      <c r="E186" s="125">
        <v>97818</v>
      </c>
      <c r="F186" s="125">
        <v>105528</v>
      </c>
      <c r="G186" s="125">
        <v>105761</v>
      </c>
      <c r="H186" s="125">
        <v>88307</v>
      </c>
      <c r="I186" s="125">
        <v>46172</v>
      </c>
      <c r="J186" s="125">
        <v>16640</v>
      </c>
      <c r="K186" s="125">
        <v>586205</v>
      </c>
      <c r="L186" s="121"/>
    </row>
    <row r="187" spans="1:14" x14ac:dyDescent="0.2">
      <c r="A187" s="26" t="s">
        <v>162</v>
      </c>
      <c r="B187" s="125">
        <v>31549</v>
      </c>
      <c r="C187" s="125">
        <v>46375</v>
      </c>
      <c r="D187" s="125">
        <v>48661</v>
      </c>
      <c r="E187" s="125">
        <v>99912</v>
      </c>
      <c r="F187" s="125">
        <v>104744</v>
      </c>
      <c r="G187" s="125">
        <v>106189</v>
      </c>
      <c r="H187" s="125">
        <v>90633</v>
      </c>
      <c r="I187" s="125">
        <v>53095.31751368066</v>
      </c>
      <c r="J187" s="125">
        <v>18524.68248631934</v>
      </c>
      <c r="K187" s="125">
        <v>594494</v>
      </c>
      <c r="L187" s="121"/>
    </row>
    <row r="188" spans="1:14" x14ac:dyDescent="0.2">
      <c r="A188" s="26" t="s">
        <v>163</v>
      </c>
      <c r="B188" s="125">
        <v>31148</v>
      </c>
      <c r="C188" s="125">
        <v>46240</v>
      </c>
      <c r="D188" s="125">
        <v>48904</v>
      </c>
      <c r="E188" s="125">
        <v>101757</v>
      </c>
      <c r="F188" s="125">
        <v>104362</v>
      </c>
      <c r="G188" s="125">
        <v>106258</v>
      </c>
      <c r="H188" s="125">
        <v>91336</v>
      </c>
      <c r="I188" s="125">
        <v>53553</v>
      </c>
      <c r="J188" s="125">
        <v>18079</v>
      </c>
      <c r="K188" s="125">
        <v>601637</v>
      </c>
      <c r="L188" s="121"/>
    </row>
    <row r="189" spans="1:14" x14ac:dyDescent="0.2">
      <c r="A189" s="26" t="s">
        <v>164</v>
      </c>
      <c r="B189" s="125">
        <v>31349</v>
      </c>
      <c r="C189" s="125">
        <v>46227</v>
      </c>
      <c r="D189" s="125">
        <v>49162</v>
      </c>
      <c r="E189" s="125">
        <v>103653</v>
      </c>
      <c r="F189" s="125">
        <v>103787</v>
      </c>
      <c r="G189" s="125">
        <v>106447</v>
      </c>
      <c r="H189" s="125">
        <v>92746</v>
      </c>
      <c r="I189" s="125">
        <v>57113</v>
      </c>
      <c r="J189" s="125">
        <v>18990</v>
      </c>
      <c r="K189" s="125">
        <v>609474</v>
      </c>
      <c r="L189" s="121"/>
      <c r="M189" s="125"/>
    </row>
    <row r="190" spans="1:14" x14ac:dyDescent="0.2">
      <c r="A190" s="26" t="s">
        <v>165</v>
      </c>
      <c r="B190" s="125">
        <v>30759</v>
      </c>
      <c r="C190" s="125">
        <v>46154</v>
      </c>
      <c r="D190" s="125">
        <v>49501</v>
      </c>
      <c r="E190" s="125">
        <v>105290</v>
      </c>
      <c r="F190" s="125">
        <v>102865</v>
      </c>
      <c r="G190" s="125">
        <v>106453</v>
      </c>
      <c r="H190" s="125">
        <v>94562</v>
      </c>
      <c r="I190" s="125">
        <v>60292</v>
      </c>
      <c r="J190" s="125">
        <v>20047</v>
      </c>
      <c r="K190" s="125">
        <v>615923</v>
      </c>
      <c r="L190" s="121"/>
    </row>
    <row r="191" spans="1:14" x14ac:dyDescent="0.2">
      <c r="A191" s="26" t="s">
        <v>166</v>
      </c>
      <c r="B191" s="125">
        <v>29946</v>
      </c>
      <c r="C191" s="125">
        <v>45879</v>
      </c>
      <c r="D191" s="125">
        <v>49619</v>
      </c>
      <c r="E191" s="125">
        <v>107025</v>
      </c>
      <c r="F191" s="125">
        <v>102413</v>
      </c>
      <c r="G191" s="125">
        <v>106597</v>
      </c>
      <c r="H191" s="125">
        <v>96386</v>
      </c>
      <c r="I191" s="125">
        <v>63687.876224498686</v>
      </c>
      <c r="J191" s="125">
        <v>42909.123775501314</v>
      </c>
      <c r="K191" s="125">
        <v>622733</v>
      </c>
      <c r="L191" s="121"/>
    </row>
    <row r="192" spans="1:14" x14ac:dyDescent="0.2">
      <c r="A192" s="26" t="s">
        <v>168</v>
      </c>
      <c r="B192" s="125">
        <v>31309</v>
      </c>
      <c r="C192" s="125">
        <v>46466</v>
      </c>
      <c r="D192" s="125">
        <v>50901</v>
      </c>
      <c r="E192" s="125">
        <v>109473</v>
      </c>
      <c r="F192" s="125">
        <v>102223</v>
      </c>
      <c r="G192" s="125">
        <v>107099</v>
      </c>
      <c r="H192" s="125">
        <v>98093</v>
      </c>
      <c r="I192" s="125">
        <v>66837</v>
      </c>
      <c r="J192" s="125">
        <v>22382</v>
      </c>
      <c r="K192" s="125">
        <v>634783</v>
      </c>
      <c r="L192" s="121"/>
    </row>
    <row r="193" spans="1:13" x14ac:dyDescent="0.2">
      <c r="A193" s="26" t="s">
        <v>195</v>
      </c>
      <c r="B193" s="125">
        <v>32745</v>
      </c>
      <c r="C193" s="125">
        <v>46759</v>
      </c>
      <c r="D193" s="125">
        <v>52736</v>
      </c>
      <c r="E193" s="125">
        <v>113528</v>
      </c>
      <c r="F193" s="125">
        <v>103356</v>
      </c>
      <c r="G193" s="125">
        <v>108017</v>
      </c>
      <c r="H193" s="125">
        <v>100462</v>
      </c>
      <c r="I193" s="125">
        <v>71213</v>
      </c>
      <c r="J193" s="125">
        <v>23862</v>
      </c>
      <c r="K193" s="125">
        <v>652678</v>
      </c>
      <c r="L193" s="121"/>
    </row>
    <row r="194" spans="1:13" x14ac:dyDescent="0.2">
      <c r="A194" s="26" t="s">
        <v>196</v>
      </c>
      <c r="B194" s="125">
        <v>33561</v>
      </c>
      <c r="C194" s="125">
        <v>46553</v>
      </c>
      <c r="D194" s="125">
        <v>53110</v>
      </c>
      <c r="E194" s="125">
        <v>114417</v>
      </c>
      <c r="F194" s="125">
        <v>104409</v>
      </c>
      <c r="G194" s="125">
        <v>107775</v>
      </c>
      <c r="H194" s="125">
        <v>101056</v>
      </c>
      <c r="I194" s="125">
        <v>72611</v>
      </c>
      <c r="J194" s="125">
        <v>24577</v>
      </c>
      <c r="K194" s="125">
        <v>658069</v>
      </c>
      <c r="L194" s="121"/>
    </row>
    <row r="195" spans="1:13" x14ac:dyDescent="0.2">
      <c r="A195" s="26" t="s">
        <v>210</v>
      </c>
      <c r="B195" s="125">
        <v>34850</v>
      </c>
      <c r="C195" s="125">
        <v>46684</v>
      </c>
      <c r="D195" s="125">
        <v>53321</v>
      </c>
      <c r="E195" s="125">
        <v>116317</v>
      </c>
      <c r="F195" s="125">
        <v>106635</v>
      </c>
      <c r="G195" s="125">
        <v>107250</v>
      </c>
      <c r="H195" s="125">
        <v>102475</v>
      </c>
      <c r="I195" s="125">
        <v>75182</v>
      </c>
      <c r="J195" s="125">
        <v>26271</v>
      </c>
      <c r="K195" s="125">
        <v>668985</v>
      </c>
      <c r="L195" s="121"/>
    </row>
    <row r="196" spans="1:13" x14ac:dyDescent="0.2">
      <c r="A196" s="26" t="s">
        <v>222</v>
      </c>
      <c r="B196" s="125">
        <v>36313</v>
      </c>
      <c r="C196" s="125">
        <v>46966</v>
      </c>
      <c r="D196" s="125">
        <v>53343</v>
      </c>
      <c r="E196" s="125">
        <v>117849</v>
      </c>
      <c r="F196" s="125">
        <v>109279</v>
      </c>
      <c r="G196" s="125">
        <v>107101</v>
      </c>
      <c r="H196" s="125">
        <v>103361</v>
      </c>
      <c r="I196" s="125">
        <v>77201</v>
      </c>
      <c r="J196" s="125">
        <v>28147</v>
      </c>
      <c r="K196" s="125">
        <v>679560</v>
      </c>
      <c r="L196" s="121"/>
    </row>
    <row r="197" spans="1:13" x14ac:dyDescent="0.2">
      <c r="A197" s="19" t="s">
        <v>167</v>
      </c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</row>
    <row r="198" spans="1:13" x14ac:dyDescent="0.2">
      <c r="A198" s="26" t="s">
        <v>156</v>
      </c>
      <c r="B198" s="125">
        <v>34346</v>
      </c>
      <c r="C198" s="125">
        <v>46014</v>
      </c>
      <c r="D198" s="125">
        <v>48384</v>
      </c>
      <c r="E198" s="125">
        <v>98330</v>
      </c>
      <c r="F198" s="125">
        <v>110336</v>
      </c>
      <c r="G198" s="125">
        <v>103646</v>
      </c>
      <c r="H198" s="125">
        <v>81359</v>
      </c>
      <c r="I198" s="125">
        <v>44366</v>
      </c>
      <c r="J198" s="125">
        <v>19173</v>
      </c>
      <c r="K198" s="125">
        <v>585954</v>
      </c>
      <c r="L198" s="121"/>
    </row>
    <row r="199" spans="1:13" x14ac:dyDescent="0.2">
      <c r="A199" s="26" t="s">
        <v>157</v>
      </c>
      <c r="B199" s="125">
        <v>34226</v>
      </c>
      <c r="C199" s="125">
        <v>46758</v>
      </c>
      <c r="D199" s="125">
        <v>49351</v>
      </c>
      <c r="E199" s="125">
        <v>97669</v>
      </c>
      <c r="F199" s="125">
        <v>109910</v>
      </c>
      <c r="G199" s="125">
        <v>104526</v>
      </c>
      <c r="H199" s="125">
        <v>83383</v>
      </c>
      <c r="I199" s="125">
        <v>43750</v>
      </c>
      <c r="J199" s="125">
        <v>18804</v>
      </c>
      <c r="K199" s="125">
        <v>588377</v>
      </c>
      <c r="L199" s="121"/>
    </row>
    <row r="200" spans="1:13" x14ac:dyDescent="0.2">
      <c r="A200" s="26" t="s">
        <v>158</v>
      </c>
      <c r="B200" s="125">
        <v>33645</v>
      </c>
      <c r="C200" s="125">
        <v>46873</v>
      </c>
      <c r="D200" s="125">
        <v>49942</v>
      </c>
      <c r="E200" s="125">
        <v>97933</v>
      </c>
      <c r="F200" s="125">
        <v>110053</v>
      </c>
      <c r="G200" s="125">
        <v>105571</v>
      </c>
      <c r="H200" s="125">
        <v>85726</v>
      </c>
      <c r="I200" s="125">
        <v>45382</v>
      </c>
      <c r="J200" s="125">
        <v>19151</v>
      </c>
      <c r="K200" s="125">
        <v>594276</v>
      </c>
      <c r="L200" s="121"/>
    </row>
    <row r="201" spans="1:13" x14ac:dyDescent="0.2">
      <c r="A201" s="26" t="s">
        <v>159</v>
      </c>
      <c r="B201" s="125">
        <v>33392</v>
      </c>
      <c r="C201" s="125">
        <v>47885</v>
      </c>
      <c r="D201" s="125">
        <v>50952</v>
      </c>
      <c r="E201" s="125">
        <v>99905</v>
      </c>
      <c r="F201" s="125">
        <v>110905</v>
      </c>
      <c r="G201" s="125">
        <v>108033</v>
      </c>
      <c r="H201" s="125">
        <v>89528</v>
      </c>
      <c r="I201" s="125">
        <v>48624</v>
      </c>
      <c r="J201" s="125">
        <v>21596</v>
      </c>
      <c r="K201" s="125">
        <v>610820</v>
      </c>
      <c r="L201" s="121"/>
    </row>
    <row r="202" spans="1:13" x14ac:dyDescent="0.2">
      <c r="A202" s="26" t="s">
        <v>160</v>
      </c>
      <c r="B202" s="125">
        <v>33024</v>
      </c>
      <c r="C202" s="125">
        <v>47960</v>
      </c>
      <c r="D202" s="125">
        <v>50782</v>
      </c>
      <c r="E202" s="125">
        <v>101102</v>
      </c>
      <c r="F202" s="125">
        <v>110017</v>
      </c>
      <c r="G202" s="125">
        <v>109529</v>
      </c>
      <c r="H202" s="125">
        <v>91649</v>
      </c>
      <c r="I202" s="125">
        <v>50632</v>
      </c>
      <c r="J202" s="125">
        <v>22055</v>
      </c>
      <c r="K202" s="125">
        <v>616750</v>
      </c>
      <c r="L202" s="121"/>
    </row>
    <row r="203" spans="1:13" x14ac:dyDescent="0.2">
      <c r="A203" s="26" t="s">
        <v>161</v>
      </c>
      <c r="B203" s="125">
        <v>32110</v>
      </c>
      <c r="C203" s="125">
        <v>48110</v>
      </c>
      <c r="D203" s="125">
        <v>50344</v>
      </c>
      <c r="E203" s="125">
        <v>101727</v>
      </c>
      <c r="F203" s="125">
        <v>108989</v>
      </c>
      <c r="G203" s="125">
        <v>109747</v>
      </c>
      <c r="H203" s="125">
        <v>93284</v>
      </c>
      <c r="I203" s="125">
        <v>52953</v>
      </c>
      <c r="J203" s="125">
        <v>22639</v>
      </c>
      <c r="K203" s="125">
        <v>619903</v>
      </c>
      <c r="L203" s="121"/>
    </row>
    <row r="204" spans="1:13" x14ac:dyDescent="0.2">
      <c r="A204" s="26" t="s">
        <v>162</v>
      </c>
      <c r="B204" s="125">
        <v>32284</v>
      </c>
      <c r="C204" s="125">
        <v>48076</v>
      </c>
      <c r="D204" s="125">
        <v>50361</v>
      </c>
      <c r="E204" s="125">
        <v>102775</v>
      </c>
      <c r="F204" s="125">
        <v>107821</v>
      </c>
      <c r="G204" s="125">
        <v>109985</v>
      </c>
      <c r="H204" s="125">
        <v>94959</v>
      </c>
      <c r="I204" s="125">
        <v>58629.256616370498</v>
      </c>
      <c r="J204" s="125">
        <v>24428.743383629502</v>
      </c>
      <c r="K204" s="125">
        <v>624838</v>
      </c>
      <c r="L204" s="121"/>
    </row>
    <row r="205" spans="1:13" x14ac:dyDescent="0.2">
      <c r="A205" s="26" t="s">
        <v>163</v>
      </c>
      <c r="B205" s="125">
        <v>31867</v>
      </c>
      <c r="C205" s="125">
        <v>48385</v>
      </c>
      <c r="D205" s="125">
        <v>50659</v>
      </c>
      <c r="E205" s="125">
        <v>104167</v>
      </c>
      <c r="F205" s="125">
        <v>107194</v>
      </c>
      <c r="G205" s="125">
        <v>109884</v>
      </c>
      <c r="H205" s="125">
        <v>94955</v>
      </c>
      <c r="I205" s="125">
        <v>59126</v>
      </c>
      <c r="J205" s="125">
        <v>24003</v>
      </c>
      <c r="K205" s="125">
        <v>630240</v>
      </c>
      <c r="L205" s="121"/>
    </row>
    <row r="206" spans="1:13" x14ac:dyDescent="0.2">
      <c r="A206" s="26" t="s">
        <v>164</v>
      </c>
      <c r="B206" s="125">
        <v>32129</v>
      </c>
      <c r="C206" s="125">
        <v>48498</v>
      </c>
      <c r="D206" s="125">
        <v>51190</v>
      </c>
      <c r="E206" s="125">
        <v>105486</v>
      </c>
      <c r="F206" s="125">
        <v>106255</v>
      </c>
      <c r="G206" s="125">
        <v>109658</v>
      </c>
      <c r="H206" s="125">
        <v>95992</v>
      </c>
      <c r="I206" s="125">
        <v>62248</v>
      </c>
      <c r="J206" s="125">
        <v>24787</v>
      </c>
      <c r="K206" s="125">
        <v>636243</v>
      </c>
      <c r="L206" s="121"/>
      <c r="M206" s="125"/>
    </row>
    <row r="207" spans="1:13" x14ac:dyDescent="0.2">
      <c r="A207" s="26" t="s">
        <v>165</v>
      </c>
      <c r="B207" s="125">
        <v>31721</v>
      </c>
      <c r="C207" s="125">
        <v>48958</v>
      </c>
      <c r="D207" s="125">
        <v>51754</v>
      </c>
      <c r="E207" s="125">
        <v>107314</v>
      </c>
      <c r="F207" s="125">
        <v>105260</v>
      </c>
      <c r="G207" s="125">
        <v>109442</v>
      </c>
      <c r="H207" s="125">
        <v>97146</v>
      </c>
      <c r="I207" s="125">
        <v>64868</v>
      </c>
      <c r="J207" s="125">
        <v>25830</v>
      </c>
      <c r="K207" s="125">
        <v>642293</v>
      </c>
      <c r="L207" s="121"/>
    </row>
    <row r="208" spans="1:13" x14ac:dyDescent="0.2">
      <c r="A208" s="26" t="s">
        <v>166</v>
      </c>
      <c r="B208" s="125">
        <v>30830</v>
      </c>
      <c r="C208" s="125">
        <v>48798</v>
      </c>
      <c r="D208" s="125">
        <v>52952</v>
      </c>
      <c r="E208" s="125">
        <v>109157</v>
      </c>
      <c r="F208" s="125">
        <v>104653</v>
      </c>
      <c r="G208" s="125">
        <v>109448</v>
      </c>
      <c r="H208" s="125">
        <v>98067</v>
      </c>
      <c r="I208" s="125">
        <v>67836.831374451474</v>
      </c>
      <c r="J208" s="125">
        <v>27012.168625548526</v>
      </c>
      <c r="K208" s="125">
        <v>648760</v>
      </c>
      <c r="L208" s="121"/>
    </row>
    <row r="209" spans="1:12" x14ac:dyDescent="0.2">
      <c r="A209" s="26" t="s">
        <v>168</v>
      </c>
      <c r="B209" s="125">
        <v>32543</v>
      </c>
      <c r="C209" s="125">
        <v>48923</v>
      </c>
      <c r="D209" s="125">
        <v>54521</v>
      </c>
      <c r="E209" s="125">
        <v>111365</v>
      </c>
      <c r="F209" s="125">
        <v>104117</v>
      </c>
      <c r="G209" s="125">
        <v>109452</v>
      </c>
      <c r="H209" s="125">
        <v>99868</v>
      </c>
      <c r="I209" s="125">
        <v>70735</v>
      </c>
      <c r="J209" s="125">
        <v>27578</v>
      </c>
      <c r="K209" s="125">
        <v>659102</v>
      </c>
      <c r="L209" s="121"/>
    </row>
    <row r="210" spans="1:12" x14ac:dyDescent="0.2">
      <c r="A210" s="26" t="s">
        <v>195</v>
      </c>
      <c r="B210" s="125">
        <v>33756</v>
      </c>
      <c r="C210" s="125">
        <v>49683</v>
      </c>
      <c r="D210" s="125">
        <v>57264</v>
      </c>
      <c r="E210" s="125">
        <v>115418</v>
      </c>
      <c r="F210" s="125">
        <v>105263</v>
      </c>
      <c r="G210" s="125">
        <v>109711</v>
      </c>
      <c r="H210" s="125">
        <v>101978</v>
      </c>
      <c r="I210" s="125">
        <v>73958</v>
      </c>
      <c r="J210" s="125">
        <v>28705</v>
      </c>
      <c r="K210" s="125">
        <v>675736</v>
      </c>
      <c r="L210" s="121"/>
    </row>
    <row r="211" spans="1:12" x14ac:dyDescent="0.2">
      <c r="A211" s="26" t="s">
        <v>196</v>
      </c>
      <c r="B211" s="125">
        <v>34593</v>
      </c>
      <c r="C211" s="125">
        <v>49999</v>
      </c>
      <c r="D211" s="125">
        <v>57749</v>
      </c>
      <c r="E211" s="125">
        <v>116660</v>
      </c>
      <c r="F211" s="125">
        <v>105887</v>
      </c>
      <c r="G211" s="125">
        <v>109383</v>
      </c>
      <c r="H211" s="125">
        <v>102634</v>
      </c>
      <c r="I211" s="125">
        <v>74938</v>
      </c>
      <c r="J211" s="125">
        <v>29354</v>
      </c>
      <c r="K211" s="125">
        <v>681197</v>
      </c>
      <c r="L211" s="121"/>
    </row>
    <row r="212" spans="1:12" x14ac:dyDescent="0.2">
      <c r="A212" s="26" t="s">
        <v>210</v>
      </c>
      <c r="B212" s="125">
        <v>36089</v>
      </c>
      <c r="C212" s="125">
        <v>50731</v>
      </c>
      <c r="D212" s="125">
        <v>58456</v>
      </c>
      <c r="E212" s="125">
        <v>119092</v>
      </c>
      <c r="F212" s="125">
        <v>108281</v>
      </c>
      <c r="G212" s="125">
        <v>108698</v>
      </c>
      <c r="H212" s="125">
        <v>103999</v>
      </c>
      <c r="I212" s="125">
        <v>76692</v>
      </c>
      <c r="J212" s="125">
        <v>30637</v>
      </c>
      <c r="K212" s="125">
        <v>692675</v>
      </c>
      <c r="L212" s="121"/>
    </row>
    <row r="213" spans="1:12" x14ac:dyDescent="0.2">
      <c r="A213" s="26" t="s">
        <v>222</v>
      </c>
      <c r="B213" s="125">
        <v>37467</v>
      </c>
      <c r="C213" s="125">
        <v>50042</v>
      </c>
      <c r="D213" s="125">
        <v>58357</v>
      </c>
      <c r="E213" s="125">
        <v>121666</v>
      </c>
      <c r="F213" s="125">
        <v>110509</v>
      </c>
      <c r="G213" s="125">
        <v>108307</v>
      </c>
      <c r="H213" s="125">
        <v>104599</v>
      </c>
      <c r="I213" s="125">
        <v>78192</v>
      </c>
      <c r="J213" s="125">
        <v>32191</v>
      </c>
      <c r="K213" s="125">
        <v>701330</v>
      </c>
      <c r="L213" s="121"/>
    </row>
    <row r="214" spans="1:12" x14ac:dyDescent="0.2">
      <c r="A214" s="19" t="s">
        <v>234</v>
      </c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</row>
    <row r="215" spans="1:12" x14ac:dyDescent="0.2">
      <c r="A215" s="26" t="s">
        <v>156</v>
      </c>
      <c r="B215" s="125">
        <v>66915</v>
      </c>
      <c r="C215" s="125">
        <v>90102</v>
      </c>
      <c r="D215" s="125">
        <v>94309</v>
      </c>
      <c r="E215" s="125">
        <v>193141</v>
      </c>
      <c r="F215" s="125">
        <v>216461</v>
      </c>
      <c r="G215" s="125">
        <v>203211</v>
      </c>
      <c r="H215" s="125">
        <v>154220</v>
      </c>
      <c r="I215" s="125">
        <v>79680</v>
      </c>
      <c r="J215" s="125">
        <v>32881</v>
      </c>
      <c r="K215" s="125">
        <v>1130920</v>
      </c>
      <c r="L215" s="121"/>
    </row>
    <row r="216" spans="1:12" x14ac:dyDescent="0.2">
      <c r="A216" s="26" t="s">
        <v>157</v>
      </c>
      <c r="B216" s="125">
        <v>66660</v>
      </c>
      <c r="C216" s="125">
        <v>91188</v>
      </c>
      <c r="D216" s="125">
        <v>96290</v>
      </c>
      <c r="E216" s="125">
        <v>191587</v>
      </c>
      <c r="F216" s="125">
        <v>215927</v>
      </c>
      <c r="G216" s="125">
        <v>205084</v>
      </c>
      <c r="H216" s="125">
        <v>159527</v>
      </c>
      <c r="I216" s="125">
        <v>79679</v>
      </c>
      <c r="J216" s="125">
        <v>32771</v>
      </c>
      <c r="K216" s="125">
        <v>1138713</v>
      </c>
      <c r="L216" s="121"/>
    </row>
    <row r="217" spans="1:12" x14ac:dyDescent="0.2">
      <c r="A217" s="26" t="s">
        <v>158</v>
      </c>
      <c r="B217" s="125">
        <v>65534</v>
      </c>
      <c r="C217" s="125">
        <v>91544</v>
      </c>
      <c r="D217" s="125">
        <v>97478</v>
      </c>
      <c r="E217" s="125">
        <v>191909</v>
      </c>
      <c r="F217" s="125">
        <v>216419</v>
      </c>
      <c r="G217" s="125">
        <v>207297</v>
      </c>
      <c r="H217" s="125">
        <v>164911</v>
      </c>
      <c r="I217" s="125">
        <v>83223</v>
      </c>
      <c r="J217" s="125">
        <v>33506</v>
      </c>
      <c r="K217" s="125">
        <v>1151821</v>
      </c>
      <c r="L217" s="121"/>
    </row>
    <row r="218" spans="1:12" x14ac:dyDescent="0.2">
      <c r="A218" s="26" t="s">
        <v>159</v>
      </c>
      <c r="B218" s="125">
        <v>65346</v>
      </c>
      <c r="C218" s="125">
        <v>93894</v>
      </c>
      <c r="D218" s="125">
        <v>99493</v>
      </c>
      <c r="E218" s="125">
        <v>195336</v>
      </c>
      <c r="F218" s="125">
        <v>218214</v>
      </c>
      <c r="G218" s="125">
        <v>211739</v>
      </c>
      <c r="H218" s="125">
        <v>172784</v>
      </c>
      <c r="I218" s="125">
        <v>89285</v>
      </c>
      <c r="J218" s="125">
        <v>37201</v>
      </c>
      <c r="K218" s="125">
        <v>1183292</v>
      </c>
      <c r="L218" s="121"/>
    </row>
    <row r="219" spans="1:12" x14ac:dyDescent="0.2">
      <c r="A219" s="26" t="s">
        <v>160</v>
      </c>
      <c r="B219" s="125">
        <v>64702</v>
      </c>
      <c r="C219" s="125">
        <v>94285</v>
      </c>
      <c r="D219" s="125">
        <v>99081</v>
      </c>
      <c r="E219" s="125">
        <v>197818</v>
      </c>
      <c r="F219" s="125">
        <v>216467</v>
      </c>
      <c r="G219" s="125">
        <v>214622</v>
      </c>
      <c r="H219" s="125">
        <v>177794</v>
      </c>
      <c r="I219" s="125">
        <v>93706</v>
      </c>
      <c r="J219" s="125">
        <v>38079</v>
      </c>
      <c r="K219" s="125">
        <v>1196554</v>
      </c>
      <c r="L219" s="121"/>
    </row>
    <row r="220" spans="1:12" x14ac:dyDescent="0.2">
      <c r="A220" s="26" t="s">
        <v>161</v>
      </c>
      <c r="B220" s="125">
        <v>63501</v>
      </c>
      <c r="C220" s="125">
        <v>94408</v>
      </c>
      <c r="D220" s="125">
        <v>98674</v>
      </c>
      <c r="E220" s="125">
        <v>199566</v>
      </c>
      <c r="F220" s="125">
        <v>214527</v>
      </c>
      <c r="G220" s="125">
        <v>215517</v>
      </c>
      <c r="H220" s="125">
        <v>181594</v>
      </c>
      <c r="I220" s="125">
        <v>99128</v>
      </c>
      <c r="J220" s="125">
        <v>39279</v>
      </c>
      <c r="K220" s="125">
        <v>1206194</v>
      </c>
      <c r="L220" s="121"/>
    </row>
    <row r="221" spans="1:12" x14ac:dyDescent="0.2">
      <c r="A221" s="26" t="s">
        <v>162</v>
      </c>
      <c r="B221" s="125">
        <v>63880</v>
      </c>
      <c r="C221" s="125">
        <v>94469</v>
      </c>
      <c r="D221" s="125">
        <v>99045</v>
      </c>
      <c r="E221" s="125">
        <v>202725</v>
      </c>
      <c r="F221" s="125">
        <v>212583</v>
      </c>
      <c r="G221" s="125">
        <v>216185</v>
      </c>
      <c r="H221" s="125">
        <v>185595</v>
      </c>
      <c r="I221" s="125">
        <v>111704.98965448239</v>
      </c>
      <c r="J221" s="125">
        <v>42980.010345517614</v>
      </c>
      <c r="K221" s="125">
        <v>1219494</v>
      </c>
      <c r="L221" s="121"/>
    </row>
    <row r="222" spans="1:12" x14ac:dyDescent="0.2">
      <c r="A222" s="26" t="s">
        <v>163</v>
      </c>
      <c r="B222" s="125">
        <v>63081</v>
      </c>
      <c r="C222" s="125">
        <v>94658</v>
      </c>
      <c r="D222" s="125">
        <v>99593</v>
      </c>
      <c r="E222" s="125">
        <v>205973</v>
      </c>
      <c r="F222" s="125">
        <v>211581</v>
      </c>
      <c r="G222" s="125">
        <v>216155</v>
      </c>
      <c r="H222" s="125">
        <v>186297</v>
      </c>
      <c r="I222" s="125">
        <v>112684</v>
      </c>
      <c r="J222" s="125">
        <v>42084</v>
      </c>
      <c r="K222" s="125">
        <v>1232106</v>
      </c>
      <c r="L222" s="121"/>
    </row>
    <row r="223" spans="1:12" x14ac:dyDescent="0.2">
      <c r="A223" s="26" t="s">
        <v>164</v>
      </c>
      <c r="B223" s="125">
        <v>63558</v>
      </c>
      <c r="C223" s="125">
        <v>94773</v>
      </c>
      <c r="D223" s="125">
        <v>100387</v>
      </c>
      <c r="E223" s="125">
        <v>209205</v>
      </c>
      <c r="F223" s="125">
        <v>210073</v>
      </c>
      <c r="G223" s="125">
        <v>216126</v>
      </c>
      <c r="H223" s="125">
        <v>188749</v>
      </c>
      <c r="I223" s="125">
        <v>119367</v>
      </c>
      <c r="J223" s="125">
        <v>43777</v>
      </c>
      <c r="K223" s="125">
        <v>1246015</v>
      </c>
      <c r="L223" s="121"/>
    </row>
    <row r="224" spans="1:12" x14ac:dyDescent="0.2">
      <c r="A224" s="26" t="s">
        <v>165</v>
      </c>
      <c r="B224" s="125">
        <v>62480</v>
      </c>
      <c r="C224" s="125">
        <v>95112</v>
      </c>
      <c r="D224" s="125">
        <v>101255</v>
      </c>
      <c r="E224" s="125">
        <v>212604</v>
      </c>
      <c r="F224" s="125">
        <v>208125</v>
      </c>
      <c r="G224" s="125">
        <v>215895</v>
      </c>
      <c r="H224" s="125">
        <v>191708</v>
      </c>
      <c r="I224" s="125">
        <v>125142</v>
      </c>
      <c r="J224" s="125">
        <v>45895</v>
      </c>
      <c r="K224" s="125">
        <v>1258216</v>
      </c>
      <c r="L224" s="121"/>
    </row>
    <row r="225" spans="1:12" x14ac:dyDescent="0.2">
      <c r="A225" s="26" t="s">
        <v>166</v>
      </c>
      <c r="B225" s="125">
        <v>60856</v>
      </c>
      <c r="C225" s="125">
        <v>94767</v>
      </c>
      <c r="D225" s="125">
        <v>102635</v>
      </c>
      <c r="E225" s="125">
        <v>216290</v>
      </c>
      <c r="F225" s="125">
        <v>207130</v>
      </c>
      <c r="G225" s="125">
        <v>216078</v>
      </c>
      <c r="H225" s="125">
        <v>194470</v>
      </c>
      <c r="I225" s="125">
        <v>131496.52136087514</v>
      </c>
      <c r="J225" s="125">
        <v>48225.478639124864</v>
      </c>
      <c r="K225" s="125">
        <v>1271958</v>
      </c>
      <c r="L225" s="121"/>
    </row>
    <row r="226" spans="1:12" x14ac:dyDescent="0.2">
      <c r="A226" s="26" t="s">
        <v>168</v>
      </c>
      <c r="B226" s="125">
        <v>63947</v>
      </c>
      <c r="C226" s="125">
        <v>95510</v>
      </c>
      <c r="D226" s="125">
        <v>105500</v>
      </c>
      <c r="E226" s="125">
        <v>220974</v>
      </c>
      <c r="F226" s="125">
        <v>206416</v>
      </c>
      <c r="G226" s="125">
        <v>216602</v>
      </c>
      <c r="H226" s="125">
        <v>197985</v>
      </c>
      <c r="I226" s="125">
        <v>137584</v>
      </c>
      <c r="J226" s="125">
        <v>49961</v>
      </c>
      <c r="K226" s="125">
        <v>1294479</v>
      </c>
      <c r="L226" s="121"/>
    </row>
    <row r="227" spans="1:12" x14ac:dyDescent="0.2">
      <c r="A227" s="26" t="s">
        <v>195</v>
      </c>
      <c r="B227" s="125">
        <v>66620</v>
      </c>
      <c r="C227" s="125">
        <v>96567</v>
      </c>
      <c r="D227" s="125">
        <v>110117</v>
      </c>
      <c r="E227" s="125">
        <v>229102</v>
      </c>
      <c r="F227" s="125">
        <v>208717</v>
      </c>
      <c r="G227" s="125">
        <v>217782</v>
      </c>
      <c r="H227" s="125">
        <v>202478</v>
      </c>
      <c r="I227" s="125">
        <v>145187</v>
      </c>
      <c r="J227" s="125">
        <v>52569</v>
      </c>
      <c r="K227" s="125">
        <v>1329139</v>
      </c>
      <c r="L227" s="121"/>
    </row>
    <row r="228" spans="1:12" x14ac:dyDescent="0.2">
      <c r="A228" s="26" t="s">
        <v>196</v>
      </c>
      <c r="B228" s="125">
        <v>68290</v>
      </c>
      <c r="C228" s="125">
        <v>96690</v>
      </c>
      <c r="D228" s="125">
        <v>110983</v>
      </c>
      <c r="E228" s="125">
        <v>231247</v>
      </c>
      <c r="F228" s="125">
        <v>210402</v>
      </c>
      <c r="G228" s="125">
        <v>217217</v>
      </c>
      <c r="H228" s="125">
        <v>203731</v>
      </c>
      <c r="I228" s="125">
        <v>147564</v>
      </c>
      <c r="J228" s="125">
        <v>53936</v>
      </c>
      <c r="K228" s="125">
        <v>1340060</v>
      </c>
      <c r="L228" s="121"/>
    </row>
    <row r="229" spans="1:12" x14ac:dyDescent="0.2">
      <c r="A229" s="26" t="s">
        <v>210</v>
      </c>
      <c r="B229" s="125">
        <v>71092</v>
      </c>
      <c r="C229" s="125">
        <v>97551</v>
      </c>
      <c r="D229" s="125">
        <v>111917</v>
      </c>
      <c r="E229" s="125">
        <v>235620</v>
      </c>
      <c r="F229" s="125">
        <v>215033</v>
      </c>
      <c r="G229" s="125">
        <v>216015</v>
      </c>
      <c r="H229" s="125">
        <v>206514</v>
      </c>
      <c r="I229" s="125">
        <v>151892</v>
      </c>
      <c r="J229" s="125">
        <v>56914</v>
      </c>
      <c r="K229" s="125">
        <v>1362548</v>
      </c>
      <c r="L229" s="121"/>
    </row>
    <row r="230" spans="1:12" x14ac:dyDescent="0.2">
      <c r="A230" s="30" t="s">
        <v>222</v>
      </c>
      <c r="B230" s="133">
        <v>74043</v>
      </c>
      <c r="C230" s="133">
        <v>97164</v>
      </c>
      <c r="D230" s="133">
        <v>111858</v>
      </c>
      <c r="E230" s="133">
        <v>239744</v>
      </c>
      <c r="F230" s="133">
        <v>219906</v>
      </c>
      <c r="G230" s="133">
        <v>215479</v>
      </c>
      <c r="H230" s="133">
        <v>208003</v>
      </c>
      <c r="I230" s="133">
        <v>155415</v>
      </c>
      <c r="J230" s="133">
        <v>60345</v>
      </c>
      <c r="K230" s="133">
        <v>1381957</v>
      </c>
      <c r="L230" s="121"/>
    </row>
    <row r="231" spans="1:12" x14ac:dyDescent="0.2">
      <c r="A231" s="26" t="s">
        <v>18</v>
      </c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</row>
    <row r="232" spans="1:12" x14ac:dyDescent="0.2">
      <c r="A232" s="26" t="s">
        <v>306</v>
      </c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</row>
    <row r="233" spans="1:12" x14ac:dyDescent="0.2">
      <c r="A233" s="19" t="s">
        <v>241</v>
      </c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</row>
    <row r="236" spans="1:12" x14ac:dyDescent="0.2">
      <c r="A236" s="6" t="s">
        <v>258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2" x14ac:dyDescent="0.2">
      <c r="A237" s="206" t="s">
        <v>154</v>
      </c>
      <c r="B237" s="208" t="s">
        <v>224</v>
      </c>
      <c r="C237" s="208"/>
      <c r="D237" s="208"/>
      <c r="E237" s="208"/>
      <c r="F237" s="208"/>
      <c r="G237" s="208"/>
      <c r="H237" s="208"/>
      <c r="I237" s="208"/>
      <c r="J237" s="208"/>
      <c r="K237" s="208"/>
    </row>
    <row r="238" spans="1:12" x14ac:dyDescent="0.2">
      <c r="A238" s="209"/>
      <c r="B238" s="135" t="s">
        <v>235</v>
      </c>
      <c r="C238" s="135" t="s">
        <v>226</v>
      </c>
      <c r="D238" s="135" t="s">
        <v>227</v>
      </c>
      <c r="E238" s="135" t="s">
        <v>228</v>
      </c>
      <c r="F238" s="135" t="s">
        <v>229</v>
      </c>
      <c r="G238" s="135" t="s">
        <v>230</v>
      </c>
      <c r="H238" s="135" t="s">
        <v>231</v>
      </c>
      <c r="I238" s="135" t="s">
        <v>232</v>
      </c>
      <c r="J238" s="135" t="s">
        <v>233</v>
      </c>
      <c r="K238" s="135" t="s">
        <v>7</v>
      </c>
    </row>
    <row r="239" spans="1:12" x14ac:dyDescent="0.2">
      <c r="A239" s="19" t="s">
        <v>155</v>
      </c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</row>
    <row r="240" spans="1:12" x14ac:dyDescent="0.2">
      <c r="A240" s="26" t="s">
        <v>156</v>
      </c>
      <c r="B240" s="125">
        <v>20879</v>
      </c>
      <c r="C240" s="125">
        <v>63305</v>
      </c>
      <c r="D240" s="125">
        <v>70869</v>
      </c>
      <c r="E240" s="125">
        <v>147316</v>
      </c>
      <c r="F240" s="125">
        <v>153888</v>
      </c>
      <c r="G240" s="125">
        <v>135206</v>
      </c>
      <c r="H240" s="125">
        <v>91493</v>
      </c>
      <c r="I240" s="125">
        <v>45146</v>
      </c>
      <c r="J240" s="125">
        <v>13315</v>
      </c>
      <c r="K240" s="125">
        <v>742943</v>
      </c>
      <c r="L240" s="121"/>
    </row>
    <row r="241" spans="1:12" x14ac:dyDescent="0.2">
      <c r="A241" s="26" t="s">
        <v>157</v>
      </c>
      <c r="B241" s="125">
        <v>21329</v>
      </c>
      <c r="C241" s="125">
        <v>64067</v>
      </c>
      <c r="D241" s="125">
        <v>73131</v>
      </c>
      <c r="E241" s="125">
        <v>148221</v>
      </c>
      <c r="F241" s="125">
        <v>156939</v>
      </c>
      <c r="G241" s="125">
        <v>138723</v>
      </c>
      <c r="H241" s="125">
        <v>96481</v>
      </c>
      <c r="I241" s="125">
        <v>47350</v>
      </c>
      <c r="J241" s="125">
        <v>14367</v>
      </c>
      <c r="K241" s="125">
        <v>760608</v>
      </c>
      <c r="L241" s="121"/>
    </row>
    <row r="242" spans="1:12" x14ac:dyDescent="0.2">
      <c r="A242" s="26" t="s">
        <v>158</v>
      </c>
      <c r="B242" s="125">
        <v>20359</v>
      </c>
      <c r="C242" s="125">
        <v>63475</v>
      </c>
      <c r="D242" s="125">
        <v>74314</v>
      </c>
      <c r="E242" s="125">
        <v>149324</v>
      </c>
      <c r="F242" s="125">
        <v>158874</v>
      </c>
      <c r="G242" s="125">
        <v>141849</v>
      </c>
      <c r="H242" s="125">
        <v>100898</v>
      </c>
      <c r="I242" s="125">
        <v>49970</v>
      </c>
      <c r="J242" s="125">
        <v>15497</v>
      </c>
      <c r="K242" s="125">
        <v>774560</v>
      </c>
      <c r="L242" s="121"/>
    </row>
    <row r="243" spans="1:12" x14ac:dyDescent="0.2">
      <c r="A243" s="26" t="s">
        <v>159</v>
      </c>
      <c r="B243" s="125">
        <v>20879</v>
      </c>
      <c r="C243" s="125">
        <v>65165</v>
      </c>
      <c r="D243" s="125">
        <v>79043</v>
      </c>
      <c r="E243" s="125">
        <v>156500</v>
      </c>
      <c r="F243" s="125">
        <v>162653</v>
      </c>
      <c r="G243" s="125">
        <v>146369</v>
      </c>
      <c r="H243" s="125">
        <v>106245</v>
      </c>
      <c r="I243" s="125">
        <v>52866</v>
      </c>
      <c r="J243" s="125">
        <v>16541</v>
      </c>
      <c r="K243" s="125">
        <v>806261</v>
      </c>
      <c r="L243" s="121"/>
    </row>
    <row r="244" spans="1:12" x14ac:dyDescent="0.2">
      <c r="A244" s="26" t="s">
        <v>160</v>
      </c>
      <c r="B244" s="125">
        <v>20994</v>
      </c>
      <c r="C244" s="125">
        <v>64456</v>
      </c>
      <c r="D244" s="125">
        <v>81366</v>
      </c>
      <c r="E244" s="125">
        <v>161477</v>
      </c>
      <c r="F244" s="125">
        <v>164217</v>
      </c>
      <c r="G244" s="125">
        <v>149425</v>
      </c>
      <c r="H244" s="125">
        <v>110700</v>
      </c>
      <c r="I244" s="125">
        <v>56568</v>
      </c>
      <c r="J244" s="125">
        <v>17451</v>
      </c>
      <c r="K244" s="125">
        <v>826654</v>
      </c>
      <c r="L244" s="121"/>
    </row>
    <row r="245" spans="1:12" x14ac:dyDescent="0.2">
      <c r="A245" s="26" t="s">
        <v>161</v>
      </c>
      <c r="B245" s="125">
        <v>21079</v>
      </c>
      <c r="C245" s="125">
        <v>63733</v>
      </c>
      <c r="D245" s="125">
        <v>82195</v>
      </c>
      <c r="E245" s="125">
        <v>166430</v>
      </c>
      <c r="F245" s="125">
        <v>165384</v>
      </c>
      <c r="G245" s="125">
        <v>151251</v>
      </c>
      <c r="H245" s="125">
        <v>115009</v>
      </c>
      <c r="I245" s="125">
        <v>59919</v>
      </c>
      <c r="J245" s="125">
        <v>19070</v>
      </c>
      <c r="K245" s="125">
        <v>844070</v>
      </c>
      <c r="L245" s="121"/>
    </row>
    <row r="246" spans="1:12" x14ac:dyDescent="0.2">
      <c r="A246" s="26" t="s">
        <v>162</v>
      </c>
      <c r="B246" s="125">
        <v>21918</v>
      </c>
      <c r="C246" s="125">
        <v>62766</v>
      </c>
      <c r="D246" s="125">
        <v>81908</v>
      </c>
      <c r="E246" s="125">
        <v>171283</v>
      </c>
      <c r="F246" s="125">
        <v>166189</v>
      </c>
      <c r="G246" s="125">
        <v>152555</v>
      </c>
      <c r="H246" s="125">
        <v>119704</v>
      </c>
      <c r="I246" s="125">
        <v>63403</v>
      </c>
      <c r="J246" s="125">
        <v>20711</v>
      </c>
      <c r="K246" s="125">
        <v>860437</v>
      </c>
      <c r="L246" s="121"/>
    </row>
    <row r="247" spans="1:12" x14ac:dyDescent="0.2">
      <c r="A247" s="26" t="s">
        <v>163</v>
      </c>
      <c r="B247" s="125">
        <v>21811</v>
      </c>
      <c r="C247" s="125">
        <v>61905</v>
      </c>
      <c r="D247" s="125">
        <v>80413</v>
      </c>
      <c r="E247" s="125">
        <v>174398</v>
      </c>
      <c r="F247" s="125">
        <v>166497</v>
      </c>
      <c r="G247" s="125">
        <v>153534</v>
      </c>
      <c r="H247" s="125">
        <v>121573</v>
      </c>
      <c r="I247" s="125">
        <v>69182</v>
      </c>
      <c r="J247" s="125">
        <v>22551</v>
      </c>
      <c r="K247" s="125">
        <v>871864</v>
      </c>
      <c r="L247" s="121"/>
    </row>
    <row r="248" spans="1:12" x14ac:dyDescent="0.2">
      <c r="A248" s="26" t="s">
        <v>164</v>
      </c>
      <c r="B248" s="125">
        <v>25386</v>
      </c>
      <c r="C248" s="125">
        <v>62105</v>
      </c>
      <c r="D248" s="125">
        <v>78809</v>
      </c>
      <c r="E248" s="125">
        <v>177619</v>
      </c>
      <c r="F248" s="125">
        <v>166401</v>
      </c>
      <c r="G248" s="125">
        <v>154776</v>
      </c>
      <c r="H248" s="125">
        <v>124616</v>
      </c>
      <c r="I248" s="125">
        <v>73954</v>
      </c>
      <c r="J248" s="125">
        <v>24696</v>
      </c>
      <c r="K248" s="125">
        <v>888362</v>
      </c>
      <c r="L248" s="121"/>
    </row>
    <row r="249" spans="1:12" x14ac:dyDescent="0.2">
      <c r="A249" s="26" t="s">
        <v>165</v>
      </c>
      <c r="B249" s="125">
        <v>25402</v>
      </c>
      <c r="C249" s="125">
        <v>62555</v>
      </c>
      <c r="D249" s="125">
        <v>77050</v>
      </c>
      <c r="E249" s="125">
        <v>179718</v>
      </c>
      <c r="F249" s="125">
        <v>166584</v>
      </c>
      <c r="G249" s="125">
        <v>156251</v>
      </c>
      <c r="H249" s="125">
        <v>127716</v>
      </c>
      <c r="I249" s="125">
        <v>78347</v>
      </c>
      <c r="J249" s="125">
        <v>26130</v>
      </c>
      <c r="K249" s="125">
        <v>899753</v>
      </c>
      <c r="L249" s="121"/>
    </row>
    <row r="250" spans="1:12" x14ac:dyDescent="0.2">
      <c r="A250" s="26" t="s">
        <v>166</v>
      </c>
      <c r="B250" s="125">
        <v>24479</v>
      </c>
      <c r="C250" s="125">
        <v>62423</v>
      </c>
      <c r="D250" s="125">
        <v>75559</v>
      </c>
      <c r="E250" s="125">
        <v>182256</v>
      </c>
      <c r="F250" s="125">
        <v>167168</v>
      </c>
      <c r="G250" s="125">
        <v>157810</v>
      </c>
      <c r="H250" s="125">
        <v>130668</v>
      </c>
      <c r="I250" s="125">
        <v>82306</v>
      </c>
      <c r="J250" s="125">
        <v>27610</v>
      </c>
      <c r="K250" s="125">
        <v>910279</v>
      </c>
      <c r="L250" s="121"/>
    </row>
    <row r="251" spans="1:12" x14ac:dyDescent="0.2">
      <c r="A251" s="26" t="s">
        <v>168</v>
      </c>
      <c r="B251" s="125">
        <v>25584</v>
      </c>
      <c r="C251" s="125">
        <v>63325</v>
      </c>
      <c r="D251" s="125">
        <v>75028</v>
      </c>
      <c r="E251" s="125">
        <v>184564</v>
      </c>
      <c r="F251" s="125">
        <v>167872</v>
      </c>
      <c r="G251" s="125">
        <v>160175</v>
      </c>
      <c r="H251" s="125">
        <v>133792</v>
      </c>
      <c r="I251" s="125">
        <v>86323</v>
      </c>
      <c r="J251" s="125">
        <v>28787</v>
      </c>
      <c r="K251" s="125">
        <v>925450</v>
      </c>
      <c r="L251" s="121"/>
    </row>
    <row r="252" spans="1:12" x14ac:dyDescent="0.2">
      <c r="A252" s="26" t="s">
        <v>195</v>
      </c>
      <c r="B252" s="125">
        <v>25855</v>
      </c>
      <c r="C252" s="125">
        <v>63576</v>
      </c>
      <c r="D252" s="125">
        <v>76016</v>
      </c>
      <c r="E252" s="125">
        <v>186568</v>
      </c>
      <c r="F252" s="125">
        <v>169893</v>
      </c>
      <c r="G252" s="125">
        <v>162658</v>
      </c>
      <c r="H252" s="125">
        <v>137156</v>
      </c>
      <c r="I252" s="125">
        <v>90578</v>
      </c>
      <c r="J252" s="125">
        <v>30910</v>
      </c>
      <c r="K252" s="125">
        <v>943210</v>
      </c>
      <c r="L252" s="121"/>
    </row>
    <row r="253" spans="1:12" x14ac:dyDescent="0.2">
      <c r="A253" s="26" t="s">
        <v>196</v>
      </c>
      <c r="B253" s="125">
        <v>25852</v>
      </c>
      <c r="C253" s="125">
        <v>63811</v>
      </c>
      <c r="D253" s="125">
        <v>77263</v>
      </c>
      <c r="E253" s="125">
        <v>188825</v>
      </c>
      <c r="F253" s="125">
        <v>173788</v>
      </c>
      <c r="G253" s="125">
        <v>163966</v>
      </c>
      <c r="H253" s="125">
        <v>140541</v>
      </c>
      <c r="I253" s="125">
        <v>95758</v>
      </c>
      <c r="J253" s="125">
        <v>32907</v>
      </c>
      <c r="K253" s="125">
        <v>962711</v>
      </c>
      <c r="L253" s="121"/>
    </row>
    <row r="254" spans="1:12" x14ac:dyDescent="0.2">
      <c r="A254" s="26" t="s">
        <v>210</v>
      </c>
      <c r="B254" s="125">
        <v>27906</v>
      </c>
      <c r="C254" s="125">
        <v>64680</v>
      </c>
      <c r="D254" s="125">
        <v>80443</v>
      </c>
      <c r="E254" s="125">
        <v>192641</v>
      </c>
      <c r="F254" s="125">
        <v>178785</v>
      </c>
      <c r="G254" s="125">
        <v>165485</v>
      </c>
      <c r="H254" s="125">
        <v>143588</v>
      </c>
      <c r="I254" s="125">
        <v>100065</v>
      </c>
      <c r="J254" s="125">
        <v>35211</v>
      </c>
      <c r="K254" s="125">
        <v>988804</v>
      </c>
      <c r="L254" s="121"/>
    </row>
    <row r="255" spans="1:12" x14ac:dyDescent="0.2">
      <c r="A255" s="26" t="s">
        <v>222</v>
      </c>
      <c r="B255" s="125">
        <v>29536</v>
      </c>
      <c r="C255" s="125">
        <v>66641</v>
      </c>
      <c r="D255" s="125">
        <v>84951</v>
      </c>
      <c r="E255" s="125">
        <v>197496</v>
      </c>
      <c r="F255" s="125">
        <v>185051</v>
      </c>
      <c r="G255" s="125">
        <v>167263</v>
      </c>
      <c r="H255" s="125">
        <v>145845</v>
      </c>
      <c r="I255" s="125">
        <v>104644</v>
      </c>
      <c r="J255" s="125">
        <v>37783</v>
      </c>
      <c r="K255" s="125">
        <v>1019210</v>
      </c>
      <c r="L255" s="121"/>
    </row>
    <row r="256" spans="1:12" x14ac:dyDescent="0.2">
      <c r="A256" s="19" t="s">
        <v>167</v>
      </c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</row>
    <row r="257" spans="1:12" x14ac:dyDescent="0.2">
      <c r="A257" s="26" t="s">
        <v>156</v>
      </c>
      <c r="B257" s="125">
        <v>26147</v>
      </c>
      <c r="C257" s="125">
        <v>69621</v>
      </c>
      <c r="D257" s="125">
        <v>79860</v>
      </c>
      <c r="E257" s="125">
        <v>159425</v>
      </c>
      <c r="F257" s="125">
        <v>165955</v>
      </c>
      <c r="G257" s="125">
        <v>143835</v>
      </c>
      <c r="H257" s="125">
        <v>103801</v>
      </c>
      <c r="I257" s="125">
        <v>53491</v>
      </c>
      <c r="J257" s="125">
        <v>19263</v>
      </c>
      <c r="K257" s="125">
        <v>821398</v>
      </c>
      <c r="L257" s="121"/>
    </row>
    <row r="258" spans="1:12" x14ac:dyDescent="0.2">
      <c r="A258" s="26" t="s">
        <v>157</v>
      </c>
      <c r="B258" s="125">
        <v>25372</v>
      </c>
      <c r="C258" s="125">
        <v>71201</v>
      </c>
      <c r="D258" s="125">
        <v>83785</v>
      </c>
      <c r="E258" s="125">
        <v>161487</v>
      </c>
      <c r="F258" s="125">
        <v>169921</v>
      </c>
      <c r="G258" s="125">
        <v>147485</v>
      </c>
      <c r="H258" s="125">
        <v>108605</v>
      </c>
      <c r="I258" s="125">
        <v>54906</v>
      </c>
      <c r="J258" s="125">
        <v>20377</v>
      </c>
      <c r="K258" s="125">
        <v>843139</v>
      </c>
      <c r="L258" s="121"/>
    </row>
    <row r="259" spans="1:12" x14ac:dyDescent="0.2">
      <c r="A259" s="26" t="s">
        <v>158</v>
      </c>
      <c r="B259" s="125">
        <v>23276</v>
      </c>
      <c r="C259" s="125">
        <v>67623</v>
      </c>
      <c r="D259" s="125">
        <v>82865</v>
      </c>
      <c r="E259" s="125">
        <v>161301</v>
      </c>
      <c r="F259" s="125">
        <v>170909</v>
      </c>
      <c r="G259" s="125">
        <v>150066</v>
      </c>
      <c r="H259" s="125">
        <v>112263</v>
      </c>
      <c r="I259" s="125">
        <v>57264</v>
      </c>
      <c r="J259" s="125">
        <v>21148</v>
      </c>
      <c r="K259" s="125">
        <v>846715</v>
      </c>
      <c r="L259" s="121"/>
    </row>
    <row r="260" spans="1:12" x14ac:dyDescent="0.2">
      <c r="A260" s="26" t="s">
        <v>159</v>
      </c>
      <c r="B260" s="125">
        <v>24913</v>
      </c>
      <c r="C260" s="125">
        <v>72375</v>
      </c>
      <c r="D260" s="125">
        <v>92303</v>
      </c>
      <c r="E260" s="125">
        <v>174870</v>
      </c>
      <c r="F260" s="125">
        <v>177780</v>
      </c>
      <c r="G260" s="125">
        <v>156024</v>
      </c>
      <c r="H260" s="125">
        <v>117579</v>
      </c>
      <c r="I260" s="125">
        <v>59860</v>
      </c>
      <c r="J260" s="125">
        <v>22005</v>
      </c>
      <c r="K260" s="125">
        <v>897709</v>
      </c>
      <c r="L260" s="121"/>
    </row>
    <row r="261" spans="1:12" x14ac:dyDescent="0.2">
      <c r="A261" s="26" t="s">
        <v>160</v>
      </c>
      <c r="B261" s="125">
        <v>24535</v>
      </c>
      <c r="C261" s="125">
        <v>71010</v>
      </c>
      <c r="D261" s="125">
        <v>93642</v>
      </c>
      <c r="E261" s="125">
        <v>181719</v>
      </c>
      <c r="F261" s="125">
        <v>178908</v>
      </c>
      <c r="G261" s="125">
        <v>159668</v>
      </c>
      <c r="H261" s="125">
        <v>121197</v>
      </c>
      <c r="I261" s="125">
        <v>63529</v>
      </c>
      <c r="J261" s="125">
        <v>22785</v>
      </c>
      <c r="K261" s="125">
        <v>916993</v>
      </c>
      <c r="L261" s="121"/>
    </row>
    <row r="262" spans="1:12" x14ac:dyDescent="0.2">
      <c r="A262" s="26" t="s">
        <v>161</v>
      </c>
      <c r="B262" s="125">
        <v>24380</v>
      </c>
      <c r="C262" s="125">
        <v>69631</v>
      </c>
      <c r="D262" s="125">
        <v>93344</v>
      </c>
      <c r="E262" s="125">
        <v>187251</v>
      </c>
      <c r="F262" s="125">
        <v>179647</v>
      </c>
      <c r="G262" s="125">
        <v>162264</v>
      </c>
      <c r="H262" s="125">
        <v>124244</v>
      </c>
      <c r="I262" s="125">
        <v>66741</v>
      </c>
      <c r="J262" s="125">
        <v>24157</v>
      </c>
      <c r="K262" s="125">
        <v>931659</v>
      </c>
      <c r="L262" s="121"/>
    </row>
    <row r="263" spans="1:12" x14ac:dyDescent="0.2">
      <c r="A263" s="26" t="s">
        <v>162</v>
      </c>
      <c r="B263" s="125">
        <v>24340</v>
      </c>
      <c r="C263" s="125">
        <v>68878</v>
      </c>
      <c r="D263" s="125">
        <v>91609</v>
      </c>
      <c r="E263" s="125">
        <v>191589</v>
      </c>
      <c r="F263" s="125">
        <v>180292</v>
      </c>
      <c r="G263" s="125">
        <v>163236</v>
      </c>
      <c r="H263" s="125">
        <v>128056</v>
      </c>
      <c r="I263" s="125">
        <v>70153</v>
      </c>
      <c r="J263" s="125">
        <v>25602</v>
      </c>
      <c r="K263" s="125">
        <v>943755</v>
      </c>
      <c r="L263" s="121"/>
    </row>
    <row r="264" spans="1:12" x14ac:dyDescent="0.2">
      <c r="A264" s="26" t="s">
        <v>163</v>
      </c>
      <c r="B264" s="125">
        <v>23952</v>
      </c>
      <c r="C264" s="125">
        <v>67964</v>
      </c>
      <c r="D264" s="125">
        <v>88391</v>
      </c>
      <c r="E264" s="125">
        <v>193512</v>
      </c>
      <c r="F264" s="125">
        <v>179392</v>
      </c>
      <c r="G264" s="125">
        <v>164092</v>
      </c>
      <c r="H264" s="125">
        <v>128954</v>
      </c>
      <c r="I264" s="125">
        <v>75771</v>
      </c>
      <c r="J264" s="125">
        <v>27384</v>
      </c>
      <c r="K264" s="125">
        <v>949412</v>
      </c>
      <c r="L264" s="121"/>
    </row>
    <row r="265" spans="1:12" x14ac:dyDescent="0.2">
      <c r="A265" s="26" t="s">
        <v>164</v>
      </c>
      <c r="B265" s="125">
        <v>26937</v>
      </c>
      <c r="C265" s="125">
        <v>68084</v>
      </c>
      <c r="D265" s="125">
        <v>85208</v>
      </c>
      <c r="E265" s="125">
        <v>193301</v>
      </c>
      <c r="F265" s="125">
        <v>178413</v>
      </c>
      <c r="G265" s="125">
        <v>164950</v>
      </c>
      <c r="H265" s="125">
        <v>131037</v>
      </c>
      <c r="I265" s="125">
        <v>80789</v>
      </c>
      <c r="J265" s="125">
        <v>29377</v>
      </c>
      <c r="K265" s="125">
        <v>958096</v>
      </c>
      <c r="L265" s="121"/>
    </row>
    <row r="266" spans="1:12" x14ac:dyDescent="0.2">
      <c r="A266" s="26" t="s">
        <v>165</v>
      </c>
      <c r="B266" s="125">
        <v>27189</v>
      </c>
      <c r="C266" s="125">
        <v>68006</v>
      </c>
      <c r="D266" s="125">
        <v>83618</v>
      </c>
      <c r="E266" s="125">
        <v>194030</v>
      </c>
      <c r="F266" s="125">
        <v>177130</v>
      </c>
      <c r="G266" s="125">
        <v>166494</v>
      </c>
      <c r="H266" s="125">
        <v>133174</v>
      </c>
      <c r="I266" s="125">
        <v>84758</v>
      </c>
      <c r="J266" s="125">
        <v>30301</v>
      </c>
      <c r="K266" s="125">
        <v>964700</v>
      </c>
      <c r="L266" s="121"/>
    </row>
    <row r="267" spans="1:12" x14ac:dyDescent="0.2">
      <c r="A267" s="26" t="s">
        <v>166</v>
      </c>
      <c r="B267" s="125">
        <v>26298</v>
      </c>
      <c r="C267" s="125">
        <v>67921</v>
      </c>
      <c r="D267" s="125">
        <v>82794</v>
      </c>
      <c r="E267" s="125">
        <v>195409</v>
      </c>
      <c r="F267" s="125">
        <v>177349</v>
      </c>
      <c r="G267" s="125">
        <v>167897</v>
      </c>
      <c r="H267" s="125">
        <v>135114</v>
      </c>
      <c r="I267" s="125">
        <v>88018</v>
      </c>
      <c r="J267" s="125">
        <v>31565</v>
      </c>
      <c r="K267" s="125">
        <v>972365</v>
      </c>
      <c r="L267" s="121"/>
    </row>
    <row r="268" spans="1:12" x14ac:dyDescent="0.2">
      <c r="A268" s="26" t="s">
        <v>168</v>
      </c>
      <c r="B268" s="125">
        <v>27545</v>
      </c>
      <c r="C268" s="125">
        <v>68094</v>
      </c>
      <c r="D268" s="125">
        <v>82236</v>
      </c>
      <c r="E268" s="125">
        <v>196184</v>
      </c>
      <c r="F268" s="125">
        <v>177818</v>
      </c>
      <c r="G268" s="125">
        <v>170265</v>
      </c>
      <c r="H268" s="125">
        <v>137355</v>
      </c>
      <c r="I268" s="125">
        <v>91313</v>
      </c>
      <c r="J268" s="125">
        <v>32543</v>
      </c>
      <c r="K268" s="125">
        <v>983353</v>
      </c>
      <c r="L268" s="121"/>
    </row>
    <row r="269" spans="1:12" x14ac:dyDescent="0.2">
      <c r="A269" s="26" t="s">
        <v>195</v>
      </c>
      <c r="B269" s="125">
        <v>28441</v>
      </c>
      <c r="C269" s="125">
        <v>68254</v>
      </c>
      <c r="D269" s="125">
        <v>83089</v>
      </c>
      <c r="E269" s="125">
        <v>196761</v>
      </c>
      <c r="F269" s="125">
        <v>180090</v>
      </c>
      <c r="G269" s="125">
        <v>172517</v>
      </c>
      <c r="H269" s="125">
        <v>140533</v>
      </c>
      <c r="I269" s="125">
        <v>94609</v>
      </c>
      <c r="J269" s="125">
        <v>34768</v>
      </c>
      <c r="K269" s="125">
        <v>999062</v>
      </c>
      <c r="L269" s="121"/>
    </row>
    <row r="270" spans="1:12" x14ac:dyDescent="0.2">
      <c r="A270" s="26" t="s">
        <v>196</v>
      </c>
      <c r="B270" s="125">
        <v>29347</v>
      </c>
      <c r="C270" s="125">
        <v>69648</v>
      </c>
      <c r="D270" s="125">
        <v>87550</v>
      </c>
      <c r="E270" s="125">
        <v>200661</v>
      </c>
      <c r="F270" s="125">
        <v>184457</v>
      </c>
      <c r="G270" s="125">
        <v>174215</v>
      </c>
      <c r="H270" s="125">
        <v>144102</v>
      </c>
      <c r="I270" s="125">
        <v>98719</v>
      </c>
      <c r="J270" s="125">
        <v>36368</v>
      </c>
      <c r="K270" s="125">
        <v>1025067</v>
      </c>
      <c r="L270" s="121"/>
    </row>
    <row r="271" spans="1:12" x14ac:dyDescent="0.2">
      <c r="A271" s="26" t="s">
        <v>210</v>
      </c>
      <c r="B271" s="125">
        <v>31514</v>
      </c>
      <c r="C271" s="125">
        <v>72825</v>
      </c>
      <c r="D271" s="125">
        <v>93474</v>
      </c>
      <c r="E271" s="125">
        <v>207765</v>
      </c>
      <c r="F271" s="125">
        <v>190479</v>
      </c>
      <c r="G271" s="125">
        <v>175435</v>
      </c>
      <c r="H271" s="125">
        <v>147741</v>
      </c>
      <c r="I271" s="125">
        <v>102013</v>
      </c>
      <c r="J271" s="125">
        <v>38611</v>
      </c>
      <c r="K271" s="125">
        <v>1059857</v>
      </c>
      <c r="L271" s="121"/>
    </row>
    <row r="272" spans="1:12" x14ac:dyDescent="0.2">
      <c r="A272" s="26" t="s">
        <v>222</v>
      </c>
      <c r="B272" s="125">
        <v>33705</v>
      </c>
      <c r="C272" s="125">
        <v>76620</v>
      </c>
      <c r="D272" s="125">
        <v>100943</v>
      </c>
      <c r="E272" s="125">
        <v>217133</v>
      </c>
      <c r="F272" s="125">
        <v>197700</v>
      </c>
      <c r="G272" s="125">
        <v>176909</v>
      </c>
      <c r="H272" s="125">
        <v>150644</v>
      </c>
      <c r="I272" s="125">
        <v>105330</v>
      </c>
      <c r="J272" s="125">
        <v>41028</v>
      </c>
      <c r="K272" s="125">
        <v>1100012</v>
      </c>
      <c r="L272" s="121"/>
    </row>
    <row r="273" spans="1:12" x14ac:dyDescent="0.2">
      <c r="A273" s="19" t="s">
        <v>234</v>
      </c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</row>
    <row r="274" spans="1:12" x14ac:dyDescent="0.2">
      <c r="A274" s="26" t="s">
        <v>156</v>
      </c>
      <c r="B274" s="125">
        <v>48556</v>
      </c>
      <c r="C274" s="125">
        <v>132960</v>
      </c>
      <c r="D274" s="125">
        <v>150778</v>
      </c>
      <c r="E274" s="125">
        <v>306966</v>
      </c>
      <c r="F274" s="125">
        <v>320360</v>
      </c>
      <c r="G274" s="125">
        <v>279629</v>
      </c>
      <c r="H274" s="125">
        <v>195751</v>
      </c>
      <c r="I274" s="125">
        <v>98845</v>
      </c>
      <c r="J274" s="125">
        <v>32620</v>
      </c>
      <c r="K274" s="125">
        <v>1566465</v>
      </c>
      <c r="L274" s="121"/>
    </row>
    <row r="275" spans="1:12" x14ac:dyDescent="0.2">
      <c r="A275" s="26" t="s">
        <v>157</v>
      </c>
      <c r="B275" s="125">
        <v>46703</v>
      </c>
      <c r="C275" s="125">
        <v>135289</v>
      </c>
      <c r="D275" s="125">
        <v>156966</v>
      </c>
      <c r="E275" s="125">
        <v>309917</v>
      </c>
      <c r="F275" s="125">
        <v>327335</v>
      </c>
      <c r="G275" s="125">
        <v>286781</v>
      </c>
      <c r="H275" s="125">
        <v>205556</v>
      </c>
      <c r="I275" s="125">
        <v>102466</v>
      </c>
      <c r="J275" s="125">
        <v>34780</v>
      </c>
      <c r="K275" s="125">
        <v>1605793</v>
      </c>
      <c r="L275" s="121"/>
    </row>
    <row r="276" spans="1:12" x14ac:dyDescent="0.2">
      <c r="A276" s="26" t="s">
        <v>158</v>
      </c>
      <c r="B276" s="125">
        <v>43637</v>
      </c>
      <c r="C276" s="125">
        <v>131116</v>
      </c>
      <c r="D276" s="125">
        <v>157227</v>
      </c>
      <c r="E276" s="125">
        <v>310812</v>
      </c>
      <c r="F276" s="125">
        <v>330205</v>
      </c>
      <c r="G276" s="125">
        <v>292454</v>
      </c>
      <c r="H276" s="125">
        <v>213651</v>
      </c>
      <c r="I276" s="125">
        <v>107443</v>
      </c>
      <c r="J276" s="125">
        <v>36681</v>
      </c>
      <c r="K276" s="125">
        <v>1623226</v>
      </c>
      <c r="L276" s="121"/>
    </row>
    <row r="277" spans="1:12" x14ac:dyDescent="0.2">
      <c r="A277" s="26" t="s">
        <v>159</v>
      </c>
      <c r="B277" s="125">
        <v>45792</v>
      </c>
      <c r="C277" s="125">
        <v>137561</v>
      </c>
      <c r="D277" s="125">
        <v>171410</v>
      </c>
      <c r="E277" s="125">
        <v>331549</v>
      </c>
      <c r="F277" s="125">
        <v>340841</v>
      </c>
      <c r="G277" s="125">
        <v>302934</v>
      </c>
      <c r="H277" s="125">
        <v>224293</v>
      </c>
      <c r="I277" s="125">
        <v>112946</v>
      </c>
      <c r="J277" s="125">
        <v>38589</v>
      </c>
      <c r="K277" s="125">
        <v>1705915</v>
      </c>
      <c r="L277" s="121"/>
    </row>
    <row r="278" spans="1:12" x14ac:dyDescent="0.2">
      <c r="A278" s="26" t="s">
        <v>160</v>
      </c>
      <c r="B278" s="125">
        <v>45530</v>
      </c>
      <c r="C278" s="125">
        <v>135482</v>
      </c>
      <c r="D278" s="125">
        <v>175076</v>
      </c>
      <c r="E278" s="125">
        <v>343359</v>
      </c>
      <c r="F278" s="125">
        <v>343492</v>
      </c>
      <c r="G278" s="125">
        <v>309596</v>
      </c>
      <c r="H278" s="125">
        <v>232382</v>
      </c>
      <c r="I278" s="125">
        <v>120323</v>
      </c>
      <c r="J278" s="125">
        <v>40283</v>
      </c>
      <c r="K278" s="125">
        <v>1745523</v>
      </c>
      <c r="L278" s="121"/>
    </row>
    <row r="279" spans="1:12" x14ac:dyDescent="0.2">
      <c r="A279" s="26" t="s">
        <v>161</v>
      </c>
      <c r="B279" s="125">
        <v>45460</v>
      </c>
      <c r="C279" s="125">
        <v>133372</v>
      </c>
      <c r="D279" s="125">
        <v>175592</v>
      </c>
      <c r="E279" s="125">
        <v>353832</v>
      </c>
      <c r="F279" s="125">
        <v>345356</v>
      </c>
      <c r="G279" s="125">
        <v>314026</v>
      </c>
      <c r="H279" s="125">
        <v>239707</v>
      </c>
      <c r="I279" s="125">
        <v>126888</v>
      </c>
      <c r="J279" s="125">
        <v>43282</v>
      </c>
      <c r="K279" s="125">
        <v>1777515</v>
      </c>
      <c r="L279" s="121"/>
    </row>
    <row r="280" spans="1:12" x14ac:dyDescent="0.2">
      <c r="A280" s="26" t="s">
        <v>162</v>
      </c>
      <c r="B280" s="125">
        <v>46258</v>
      </c>
      <c r="C280" s="125">
        <v>131656</v>
      </c>
      <c r="D280" s="125">
        <v>173555</v>
      </c>
      <c r="E280" s="125">
        <v>363024</v>
      </c>
      <c r="F280" s="125">
        <v>346773</v>
      </c>
      <c r="G280" s="125">
        <v>316254</v>
      </c>
      <c r="H280" s="125">
        <v>248203</v>
      </c>
      <c r="I280" s="125">
        <v>133805</v>
      </c>
      <c r="J280" s="125">
        <v>46367</v>
      </c>
      <c r="K280" s="125">
        <v>1805895</v>
      </c>
      <c r="L280" s="121"/>
    </row>
    <row r="281" spans="1:12" x14ac:dyDescent="0.2">
      <c r="A281" s="26" t="s">
        <v>163</v>
      </c>
      <c r="B281" s="125">
        <v>45765</v>
      </c>
      <c r="C281" s="125">
        <v>129877</v>
      </c>
      <c r="D281" s="125">
        <v>168836</v>
      </c>
      <c r="E281" s="125">
        <v>368055</v>
      </c>
      <c r="F281" s="125">
        <v>346140</v>
      </c>
      <c r="G281" s="125">
        <v>318057</v>
      </c>
      <c r="H281" s="125">
        <v>250961</v>
      </c>
      <c r="I281" s="125">
        <v>145213</v>
      </c>
      <c r="J281" s="125">
        <v>49989</v>
      </c>
      <c r="K281" s="125">
        <v>1822893</v>
      </c>
      <c r="L281" s="121"/>
    </row>
    <row r="282" spans="1:12" x14ac:dyDescent="0.2">
      <c r="A282" s="26" t="s">
        <v>164</v>
      </c>
      <c r="B282" s="125">
        <v>52324</v>
      </c>
      <c r="C282" s="125">
        <v>130193</v>
      </c>
      <c r="D282" s="125">
        <v>164041</v>
      </c>
      <c r="E282" s="125">
        <v>371038</v>
      </c>
      <c r="F282" s="125">
        <v>345032</v>
      </c>
      <c r="G282" s="125">
        <v>320132</v>
      </c>
      <c r="H282" s="125">
        <v>256050</v>
      </c>
      <c r="I282" s="125">
        <v>155013</v>
      </c>
      <c r="J282" s="125">
        <v>54140</v>
      </c>
      <c r="K282" s="125">
        <v>1847963</v>
      </c>
      <c r="L282" s="121"/>
    </row>
    <row r="283" spans="1:12" x14ac:dyDescent="0.2">
      <c r="A283" s="26" t="s">
        <v>165</v>
      </c>
      <c r="B283" s="125">
        <v>52591</v>
      </c>
      <c r="C283" s="125">
        <v>130561</v>
      </c>
      <c r="D283" s="125">
        <v>160668</v>
      </c>
      <c r="E283" s="125">
        <v>373748</v>
      </c>
      <c r="F283" s="125">
        <v>343714</v>
      </c>
      <c r="G283" s="125">
        <v>322745</v>
      </c>
      <c r="H283" s="125">
        <v>260890</v>
      </c>
      <c r="I283" s="125">
        <v>163105</v>
      </c>
      <c r="J283" s="125">
        <v>56431</v>
      </c>
      <c r="K283" s="125">
        <v>1864453</v>
      </c>
      <c r="L283" s="121"/>
    </row>
    <row r="284" spans="1:12" x14ac:dyDescent="0.2">
      <c r="A284" s="26" t="s">
        <v>166</v>
      </c>
      <c r="B284" s="125">
        <v>50777</v>
      </c>
      <c r="C284" s="125">
        <v>130344</v>
      </c>
      <c r="D284" s="125">
        <v>158353</v>
      </c>
      <c r="E284" s="125">
        <v>377665</v>
      </c>
      <c r="F284" s="125">
        <v>344517</v>
      </c>
      <c r="G284" s="125">
        <v>325707</v>
      </c>
      <c r="H284" s="125">
        <v>265782</v>
      </c>
      <c r="I284" s="125">
        <v>170324</v>
      </c>
      <c r="J284" s="125">
        <v>59175</v>
      </c>
      <c r="K284" s="125">
        <v>1882644</v>
      </c>
      <c r="L284" s="121"/>
    </row>
    <row r="285" spans="1:12" x14ac:dyDescent="0.2">
      <c r="A285" s="26" t="s">
        <v>168</v>
      </c>
      <c r="B285" s="125">
        <v>53129</v>
      </c>
      <c r="C285" s="125">
        <v>131419</v>
      </c>
      <c r="D285" s="125">
        <v>157264</v>
      </c>
      <c r="E285" s="125">
        <v>380748</v>
      </c>
      <c r="F285" s="125">
        <v>345690</v>
      </c>
      <c r="G285" s="125">
        <v>330440</v>
      </c>
      <c r="H285" s="125">
        <v>271147</v>
      </c>
      <c r="I285" s="125">
        <v>177636</v>
      </c>
      <c r="J285" s="125">
        <v>61330</v>
      </c>
      <c r="K285" s="125">
        <v>1908803</v>
      </c>
      <c r="L285" s="121"/>
    </row>
    <row r="286" spans="1:12" x14ac:dyDescent="0.2">
      <c r="A286" s="26" t="s">
        <v>195</v>
      </c>
      <c r="B286" s="125">
        <v>54296</v>
      </c>
      <c r="C286" s="125">
        <v>131830</v>
      </c>
      <c r="D286" s="125">
        <v>159105</v>
      </c>
      <c r="E286" s="125">
        <v>383329</v>
      </c>
      <c r="F286" s="125">
        <v>349983</v>
      </c>
      <c r="G286" s="125">
        <v>335175</v>
      </c>
      <c r="H286" s="125">
        <v>277689</v>
      </c>
      <c r="I286" s="125">
        <v>185187</v>
      </c>
      <c r="J286" s="125">
        <v>65678</v>
      </c>
      <c r="K286" s="125">
        <v>1942272</v>
      </c>
      <c r="L286" s="121"/>
    </row>
    <row r="287" spans="1:12" x14ac:dyDescent="0.2">
      <c r="A287" s="26" t="s">
        <v>196</v>
      </c>
      <c r="B287" s="125">
        <v>55199</v>
      </c>
      <c r="C287" s="125">
        <v>133459</v>
      </c>
      <c r="D287" s="125">
        <v>164813</v>
      </c>
      <c r="E287" s="125">
        <v>389486</v>
      </c>
      <c r="F287" s="125">
        <v>358245</v>
      </c>
      <c r="G287" s="125">
        <v>338181</v>
      </c>
      <c r="H287" s="125">
        <v>284643</v>
      </c>
      <c r="I287" s="125">
        <v>194477</v>
      </c>
      <c r="J287" s="125">
        <v>69275</v>
      </c>
      <c r="K287" s="125">
        <v>1987778</v>
      </c>
      <c r="L287" s="121"/>
    </row>
    <row r="288" spans="1:12" x14ac:dyDescent="0.2">
      <c r="A288" s="26" t="s">
        <v>210</v>
      </c>
      <c r="B288" s="125">
        <v>59420</v>
      </c>
      <c r="C288" s="125">
        <v>137505</v>
      </c>
      <c r="D288" s="125">
        <v>173917</v>
      </c>
      <c r="E288" s="125">
        <v>400406</v>
      </c>
      <c r="F288" s="125">
        <v>369264</v>
      </c>
      <c r="G288" s="125">
        <v>340920</v>
      </c>
      <c r="H288" s="125">
        <v>291329</v>
      </c>
      <c r="I288" s="125">
        <v>202078</v>
      </c>
      <c r="J288" s="125">
        <v>73822</v>
      </c>
      <c r="K288" s="125">
        <v>2048661</v>
      </c>
      <c r="L288" s="121"/>
    </row>
    <row r="289" spans="1:12" x14ac:dyDescent="0.2">
      <c r="A289" s="30" t="s">
        <v>222</v>
      </c>
      <c r="B289" s="133">
        <v>63241</v>
      </c>
      <c r="C289" s="133">
        <v>143261</v>
      </c>
      <c r="D289" s="133">
        <v>185894</v>
      </c>
      <c r="E289" s="133">
        <v>414629</v>
      </c>
      <c r="F289" s="133">
        <v>382751</v>
      </c>
      <c r="G289" s="133">
        <v>344172</v>
      </c>
      <c r="H289" s="133">
        <v>296489</v>
      </c>
      <c r="I289" s="133">
        <v>209974</v>
      </c>
      <c r="J289" s="133">
        <v>78811</v>
      </c>
      <c r="K289" s="133">
        <v>2119222</v>
      </c>
      <c r="L289" s="121"/>
    </row>
    <row r="290" spans="1:12" x14ac:dyDescent="0.2">
      <c r="A290" s="26" t="s">
        <v>18</v>
      </c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</row>
    <row r="291" spans="1:12" x14ac:dyDescent="0.2">
      <c r="A291" s="19" t="s">
        <v>243</v>
      </c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</row>
    <row r="294" spans="1:12" x14ac:dyDescent="0.2">
      <c r="A294" s="6" t="s">
        <v>259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spans="1:12" x14ac:dyDescent="0.2">
      <c r="A295" s="206" t="s">
        <v>154</v>
      </c>
      <c r="B295" s="208" t="s">
        <v>224</v>
      </c>
      <c r="C295" s="208"/>
      <c r="D295" s="208"/>
      <c r="E295" s="208"/>
      <c r="F295" s="208"/>
      <c r="G295" s="208"/>
      <c r="H295" s="208"/>
      <c r="I295" s="208"/>
      <c r="J295" s="208"/>
      <c r="K295" s="208"/>
    </row>
    <row r="296" spans="1:12" x14ac:dyDescent="0.2">
      <c r="A296" s="209"/>
      <c r="B296" s="135" t="s">
        <v>225</v>
      </c>
      <c r="C296" s="9" t="s">
        <v>226</v>
      </c>
      <c r="D296" s="9" t="s">
        <v>227</v>
      </c>
      <c r="E296" s="9" t="s">
        <v>228</v>
      </c>
      <c r="F296" s="9" t="s">
        <v>229</v>
      </c>
      <c r="G296" s="9" t="s">
        <v>230</v>
      </c>
      <c r="H296" s="9" t="s">
        <v>231</v>
      </c>
      <c r="I296" s="9" t="s">
        <v>232</v>
      </c>
      <c r="J296" s="9" t="s">
        <v>233</v>
      </c>
      <c r="K296" s="9" t="s">
        <v>7</v>
      </c>
    </row>
    <row r="297" spans="1:12" x14ac:dyDescent="0.2">
      <c r="A297" s="123" t="s">
        <v>155</v>
      </c>
      <c r="C297" s="124"/>
      <c r="D297" s="124"/>
      <c r="E297" s="124"/>
      <c r="F297" s="124"/>
      <c r="G297" s="124"/>
      <c r="H297" s="124"/>
      <c r="I297" s="124"/>
      <c r="J297" s="124"/>
      <c r="K297" s="124"/>
      <c r="L297" s="125"/>
    </row>
    <row r="298" spans="1:12" x14ac:dyDescent="0.2">
      <c r="A298" s="26" t="s">
        <v>156</v>
      </c>
      <c r="B298" s="125">
        <v>10868</v>
      </c>
      <c r="C298" s="125">
        <v>14173</v>
      </c>
      <c r="D298" s="125">
        <v>13896</v>
      </c>
      <c r="E298" s="125">
        <v>29298</v>
      </c>
      <c r="F298" s="125">
        <v>34329</v>
      </c>
      <c r="G298" s="125">
        <v>33810</v>
      </c>
      <c r="H298" s="125">
        <v>25718</v>
      </c>
      <c r="I298" s="125">
        <v>12968</v>
      </c>
      <c r="J298" s="125">
        <v>4177</v>
      </c>
      <c r="K298" s="125">
        <v>179237</v>
      </c>
      <c r="L298" s="121"/>
    </row>
    <row r="299" spans="1:12" x14ac:dyDescent="0.2">
      <c r="A299" s="26" t="s">
        <v>157</v>
      </c>
      <c r="B299" s="125">
        <v>10662</v>
      </c>
      <c r="C299" s="125">
        <v>14148</v>
      </c>
      <c r="D299" s="125">
        <v>13968</v>
      </c>
      <c r="E299" s="125">
        <v>28851</v>
      </c>
      <c r="F299" s="125">
        <v>34283</v>
      </c>
      <c r="G299" s="125">
        <v>34699</v>
      </c>
      <c r="H299" s="125">
        <v>26903</v>
      </c>
      <c r="I299" s="125">
        <v>13534</v>
      </c>
      <c r="J299" s="125">
        <v>4400</v>
      </c>
      <c r="K299" s="125">
        <v>181448</v>
      </c>
      <c r="L299" s="121"/>
    </row>
    <row r="300" spans="1:12" x14ac:dyDescent="0.2">
      <c r="A300" s="26" t="s">
        <v>158</v>
      </c>
      <c r="B300" s="125">
        <v>10387</v>
      </c>
      <c r="C300" s="125">
        <v>13810</v>
      </c>
      <c r="D300" s="125">
        <v>13503</v>
      </c>
      <c r="E300" s="125">
        <v>27942</v>
      </c>
      <c r="F300" s="125">
        <v>33654</v>
      </c>
      <c r="G300" s="125">
        <v>34944</v>
      </c>
      <c r="H300" s="125">
        <v>27806</v>
      </c>
      <c r="I300" s="125">
        <v>14122</v>
      </c>
      <c r="J300" s="125">
        <v>4702</v>
      </c>
      <c r="K300" s="125">
        <v>180870</v>
      </c>
      <c r="L300" s="121"/>
    </row>
    <row r="301" spans="1:12" x14ac:dyDescent="0.2">
      <c r="A301" s="26" t="s">
        <v>159</v>
      </c>
      <c r="B301" s="125">
        <v>10155</v>
      </c>
      <c r="C301" s="125">
        <v>13471</v>
      </c>
      <c r="D301" s="125">
        <v>13435</v>
      </c>
      <c r="E301" s="125">
        <v>27297</v>
      </c>
      <c r="F301" s="125">
        <v>33087</v>
      </c>
      <c r="G301" s="125">
        <v>35005</v>
      </c>
      <c r="H301" s="125">
        <v>28883</v>
      </c>
      <c r="I301" s="125">
        <v>14701</v>
      </c>
      <c r="J301" s="125">
        <v>4997</v>
      </c>
      <c r="K301" s="125">
        <v>181031</v>
      </c>
      <c r="L301" s="121"/>
    </row>
    <row r="302" spans="1:12" x14ac:dyDescent="0.2">
      <c r="A302" s="26" t="s">
        <v>160</v>
      </c>
      <c r="B302" s="125">
        <v>10134</v>
      </c>
      <c r="C302" s="125">
        <v>13254</v>
      </c>
      <c r="D302" s="125">
        <v>13192</v>
      </c>
      <c r="E302" s="125">
        <v>27046</v>
      </c>
      <c r="F302" s="125">
        <v>32439</v>
      </c>
      <c r="G302" s="125">
        <v>35187</v>
      </c>
      <c r="H302" s="125">
        <v>29763</v>
      </c>
      <c r="I302" s="125">
        <v>15516</v>
      </c>
      <c r="J302" s="125">
        <v>5352</v>
      </c>
      <c r="K302" s="125">
        <v>181883</v>
      </c>
      <c r="L302" s="121"/>
    </row>
    <row r="303" spans="1:12" x14ac:dyDescent="0.2">
      <c r="A303" s="26" t="s">
        <v>161</v>
      </c>
      <c r="B303" s="125">
        <v>10177</v>
      </c>
      <c r="C303" s="125">
        <v>13468</v>
      </c>
      <c r="D303" s="125">
        <v>13033</v>
      </c>
      <c r="E303" s="125">
        <v>27207</v>
      </c>
      <c r="F303" s="125">
        <v>32301</v>
      </c>
      <c r="G303" s="125">
        <v>35147</v>
      </c>
      <c r="H303" s="125">
        <v>30694</v>
      </c>
      <c r="I303" s="125">
        <v>16609</v>
      </c>
      <c r="J303" s="125">
        <v>5784</v>
      </c>
      <c r="K303" s="125">
        <v>184420</v>
      </c>
      <c r="L303" s="121"/>
    </row>
    <row r="304" spans="1:12" x14ac:dyDescent="0.2">
      <c r="A304" s="26" t="s">
        <v>162</v>
      </c>
      <c r="B304" s="125">
        <v>10296</v>
      </c>
      <c r="C304" s="125">
        <v>13538</v>
      </c>
      <c r="D304" s="125">
        <v>13417</v>
      </c>
      <c r="E304" s="125">
        <v>27926</v>
      </c>
      <c r="F304" s="125">
        <v>32355</v>
      </c>
      <c r="G304" s="125">
        <v>35334</v>
      </c>
      <c r="H304" s="125">
        <v>31707</v>
      </c>
      <c r="I304" s="125">
        <v>17865</v>
      </c>
      <c r="J304" s="125">
        <v>6553</v>
      </c>
      <c r="K304" s="125">
        <v>188991</v>
      </c>
      <c r="L304" s="121"/>
    </row>
    <row r="305" spans="1:12" x14ac:dyDescent="0.2">
      <c r="A305" s="26" t="s">
        <v>163</v>
      </c>
      <c r="B305" s="125">
        <v>10246</v>
      </c>
      <c r="C305" s="125">
        <v>13508</v>
      </c>
      <c r="D305" s="125">
        <v>13554</v>
      </c>
      <c r="E305" s="125">
        <v>27943</v>
      </c>
      <c r="F305" s="125">
        <v>31580</v>
      </c>
      <c r="G305" s="125">
        <v>35167</v>
      </c>
      <c r="H305" s="125">
        <v>32003</v>
      </c>
      <c r="I305" s="125">
        <v>19185</v>
      </c>
      <c r="J305" s="125">
        <v>6796</v>
      </c>
      <c r="K305" s="125">
        <v>189982</v>
      </c>
      <c r="L305" s="121"/>
    </row>
    <row r="306" spans="1:12" x14ac:dyDescent="0.2">
      <c r="A306" s="26" t="s">
        <v>164</v>
      </c>
      <c r="B306" s="125">
        <v>10306</v>
      </c>
      <c r="C306" s="125">
        <v>13713</v>
      </c>
      <c r="D306" s="125">
        <v>14023</v>
      </c>
      <c r="E306" s="125">
        <v>28905</v>
      </c>
      <c r="F306" s="125">
        <v>31638</v>
      </c>
      <c r="G306" s="125">
        <v>35113</v>
      </c>
      <c r="H306" s="125">
        <v>32727</v>
      </c>
      <c r="I306" s="125">
        <v>20300</v>
      </c>
      <c r="J306" s="125">
        <v>7155</v>
      </c>
      <c r="K306" s="125">
        <v>193880</v>
      </c>
      <c r="L306" s="121"/>
    </row>
    <row r="307" spans="1:12" x14ac:dyDescent="0.2">
      <c r="A307" s="26" t="s">
        <v>165</v>
      </c>
      <c r="B307" s="125">
        <v>9975</v>
      </c>
      <c r="C307" s="125">
        <v>14189</v>
      </c>
      <c r="D307" s="125">
        <v>14701</v>
      </c>
      <c r="E307" s="125">
        <v>30368</v>
      </c>
      <c r="F307" s="125">
        <v>31531</v>
      </c>
      <c r="G307" s="125">
        <v>35328</v>
      </c>
      <c r="H307" s="125">
        <v>33503</v>
      </c>
      <c r="I307" s="125">
        <v>21660</v>
      </c>
      <c r="J307" s="125">
        <v>7524</v>
      </c>
      <c r="K307" s="125">
        <v>198779</v>
      </c>
      <c r="L307" s="121"/>
    </row>
    <row r="308" spans="1:12" x14ac:dyDescent="0.2">
      <c r="A308" s="26" t="s">
        <v>166</v>
      </c>
      <c r="B308" s="125">
        <v>9819</v>
      </c>
      <c r="C308" s="125">
        <v>14149</v>
      </c>
      <c r="D308" s="125">
        <v>15447</v>
      </c>
      <c r="E308" s="125">
        <v>31574</v>
      </c>
      <c r="F308" s="125">
        <v>31267</v>
      </c>
      <c r="G308" s="125">
        <v>35102</v>
      </c>
      <c r="H308" s="125">
        <v>33932</v>
      </c>
      <c r="I308" s="125">
        <v>22857</v>
      </c>
      <c r="J308" s="125">
        <v>8259</v>
      </c>
      <c r="K308" s="125">
        <v>202406</v>
      </c>
      <c r="L308" s="121"/>
    </row>
    <row r="309" spans="1:12" x14ac:dyDescent="0.2">
      <c r="A309" s="26" t="s">
        <v>168</v>
      </c>
      <c r="B309" s="125">
        <v>9993</v>
      </c>
      <c r="C309" s="125">
        <v>14367</v>
      </c>
      <c r="D309" s="125">
        <v>16582</v>
      </c>
      <c r="E309" s="125">
        <v>33028</v>
      </c>
      <c r="F309" s="125">
        <v>31026</v>
      </c>
      <c r="G309" s="125">
        <v>35064</v>
      </c>
      <c r="H309" s="125">
        <v>34632</v>
      </c>
      <c r="I309" s="125">
        <v>23856</v>
      </c>
      <c r="J309" s="125">
        <v>8881</v>
      </c>
      <c r="K309" s="125">
        <v>207429</v>
      </c>
      <c r="L309" s="121"/>
    </row>
    <row r="310" spans="1:12" x14ac:dyDescent="0.2">
      <c r="A310" s="26" t="s">
        <v>195</v>
      </c>
      <c r="B310" s="125">
        <v>10278</v>
      </c>
      <c r="C310" s="125">
        <v>14438</v>
      </c>
      <c r="D310" s="125">
        <v>17174</v>
      </c>
      <c r="E310" s="125">
        <v>34448</v>
      </c>
      <c r="F310" s="125">
        <v>31099</v>
      </c>
      <c r="G310" s="125">
        <v>34918</v>
      </c>
      <c r="H310" s="125">
        <v>35207</v>
      </c>
      <c r="I310" s="125">
        <v>24733</v>
      </c>
      <c r="J310" s="125">
        <v>9271</v>
      </c>
      <c r="K310" s="125">
        <v>211566</v>
      </c>
      <c r="L310" s="121"/>
    </row>
    <row r="311" spans="1:12" x14ac:dyDescent="0.2">
      <c r="A311" s="26" t="s">
        <v>196</v>
      </c>
      <c r="B311" s="125">
        <v>10716</v>
      </c>
      <c r="C311" s="125">
        <v>13911</v>
      </c>
      <c r="D311" s="125">
        <v>16849</v>
      </c>
      <c r="E311" s="125">
        <v>35287</v>
      </c>
      <c r="F311" s="125">
        <v>31099</v>
      </c>
      <c r="G311" s="125">
        <v>34792</v>
      </c>
      <c r="H311" s="125">
        <v>35429</v>
      </c>
      <c r="I311" s="125">
        <v>25783</v>
      </c>
      <c r="J311" s="125">
        <v>9598</v>
      </c>
      <c r="K311" s="125">
        <v>213464</v>
      </c>
      <c r="L311" s="121"/>
    </row>
    <row r="312" spans="1:12" x14ac:dyDescent="0.2">
      <c r="A312" s="26" t="s">
        <v>210</v>
      </c>
      <c r="B312" s="125">
        <v>11124</v>
      </c>
      <c r="C312" s="125">
        <v>13727</v>
      </c>
      <c r="D312" s="125">
        <v>16546</v>
      </c>
      <c r="E312" s="125">
        <v>35892</v>
      </c>
      <c r="F312" s="125">
        <v>31313</v>
      </c>
      <c r="G312" s="125">
        <v>34398</v>
      </c>
      <c r="H312" s="125">
        <v>35759</v>
      </c>
      <c r="I312" s="125">
        <v>26604</v>
      </c>
      <c r="J312" s="125">
        <v>10148</v>
      </c>
      <c r="K312" s="125">
        <v>215511</v>
      </c>
      <c r="L312" s="121"/>
    </row>
    <row r="313" spans="1:12" x14ac:dyDescent="0.2">
      <c r="A313" s="26" t="s">
        <v>222</v>
      </c>
      <c r="B313" s="125">
        <v>9977</v>
      </c>
      <c r="C313" s="125">
        <v>13781</v>
      </c>
      <c r="D313" s="125">
        <v>16443</v>
      </c>
      <c r="E313" s="125">
        <v>36789</v>
      </c>
      <c r="F313" s="125">
        <v>32009</v>
      </c>
      <c r="G313" s="125">
        <v>34431</v>
      </c>
      <c r="H313" s="125">
        <v>35939</v>
      </c>
      <c r="I313" s="125">
        <v>27400</v>
      </c>
      <c r="J313" s="125">
        <v>10813</v>
      </c>
      <c r="K313" s="125">
        <v>217582</v>
      </c>
      <c r="L313" s="121"/>
    </row>
    <row r="314" spans="1:12" x14ac:dyDescent="0.2">
      <c r="A314" s="19" t="s">
        <v>167</v>
      </c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</row>
    <row r="315" spans="1:12" x14ac:dyDescent="0.2">
      <c r="A315" s="26" t="s">
        <v>156</v>
      </c>
      <c r="B315" s="125">
        <v>11033</v>
      </c>
      <c r="C315" s="125">
        <v>14365</v>
      </c>
      <c r="D315" s="125">
        <v>13728</v>
      </c>
      <c r="E315" s="125">
        <v>28504</v>
      </c>
      <c r="F315" s="125">
        <v>33986</v>
      </c>
      <c r="G315" s="125">
        <v>34185</v>
      </c>
      <c r="H315" s="125">
        <v>27704</v>
      </c>
      <c r="I315" s="125">
        <v>14952</v>
      </c>
      <c r="J315" s="125">
        <v>5597</v>
      </c>
      <c r="K315" s="125">
        <v>184054</v>
      </c>
      <c r="L315" s="121"/>
    </row>
    <row r="316" spans="1:12" x14ac:dyDescent="0.2">
      <c r="A316" s="26" t="s">
        <v>157</v>
      </c>
      <c r="B316" s="125">
        <v>10885</v>
      </c>
      <c r="C316" s="125">
        <v>14344</v>
      </c>
      <c r="D316" s="125">
        <v>13971</v>
      </c>
      <c r="E316" s="125">
        <v>28105</v>
      </c>
      <c r="F316" s="125">
        <v>33870</v>
      </c>
      <c r="G316" s="125">
        <v>34707</v>
      </c>
      <c r="H316" s="125">
        <v>28764</v>
      </c>
      <c r="I316" s="125">
        <v>15373</v>
      </c>
      <c r="J316" s="125">
        <v>5829</v>
      </c>
      <c r="K316" s="125">
        <v>185848</v>
      </c>
      <c r="L316" s="121"/>
    </row>
    <row r="317" spans="1:12" x14ac:dyDescent="0.2">
      <c r="A317" s="26" t="s">
        <v>158</v>
      </c>
      <c r="B317" s="125">
        <v>10752</v>
      </c>
      <c r="C317" s="125">
        <v>13844</v>
      </c>
      <c r="D317" s="125">
        <v>13600</v>
      </c>
      <c r="E317" s="125">
        <v>27026</v>
      </c>
      <c r="F317" s="125">
        <v>33010</v>
      </c>
      <c r="G317" s="125">
        <v>34642</v>
      </c>
      <c r="H317" s="125">
        <v>29645</v>
      </c>
      <c r="I317" s="125">
        <v>15892</v>
      </c>
      <c r="J317" s="125">
        <v>6078</v>
      </c>
      <c r="K317" s="125">
        <v>184489</v>
      </c>
      <c r="L317" s="121"/>
    </row>
    <row r="318" spans="1:12" x14ac:dyDescent="0.2">
      <c r="A318" s="26" t="s">
        <v>159</v>
      </c>
      <c r="B318" s="125">
        <v>10540</v>
      </c>
      <c r="C318" s="125">
        <v>13751</v>
      </c>
      <c r="D318" s="125">
        <v>13319</v>
      </c>
      <c r="E318" s="125">
        <v>26705</v>
      </c>
      <c r="F318" s="125">
        <v>32217</v>
      </c>
      <c r="G318" s="125">
        <v>34626</v>
      </c>
      <c r="H318" s="125">
        <v>30413</v>
      </c>
      <c r="I318" s="125">
        <v>16462</v>
      </c>
      <c r="J318" s="125">
        <v>6231</v>
      </c>
      <c r="K318" s="125">
        <v>184264</v>
      </c>
      <c r="L318" s="121"/>
    </row>
    <row r="319" spans="1:12" x14ac:dyDescent="0.2">
      <c r="A319" s="26" t="s">
        <v>160</v>
      </c>
      <c r="B319" s="125">
        <v>10218</v>
      </c>
      <c r="C319" s="125">
        <v>13679</v>
      </c>
      <c r="D319" s="125">
        <v>13110</v>
      </c>
      <c r="E319" s="125">
        <v>26354</v>
      </c>
      <c r="F319" s="125">
        <v>31570</v>
      </c>
      <c r="G319" s="125">
        <v>34893</v>
      </c>
      <c r="H319" s="125">
        <v>30710</v>
      </c>
      <c r="I319" s="125">
        <v>17322</v>
      </c>
      <c r="J319" s="125">
        <v>6492</v>
      </c>
      <c r="K319" s="125">
        <v>184348</v>
      </c>
      <c r="L319" s="121"/>
    </row>
    <row r="320" spans="1:12" x14ac:dyDescent="0.2">
      <c r="A320" s="26" t="s">
        <v>161</v>
      </c>
      <c r="B320" s="125">
        <v>10184</v>
      </c>
      <c r="C320" s="125">
        <v>13740</v>
      </c>
      <c r="D320" s="125">
        <v>13111</v>
      </c>
      <c r="E320" s="125">
        <v>26406</v>
      </c>
      <c r="F320" s="125">
        <v>31118</v>
      </c>
      <c r="G320" s="125">
        <v>34930</v>
      </c>
      <c r="H320" s="125">
        <v>31396</v>
      </c>
      <c r="I320" s="125">
        <v>18170</v>
      </c>
      <c r="J320" s="125">
        <v>6821</v>
      </c>
      <c r="K320" s="125">
        <v>185876</v>
      </c>
      <c r="L320" s="121"/>
    </row>
    <row r="321" spans="1:12" x14ac:dyDescent="0.2">
      <c r="A321" s="26" t="s">
        <v>162</v>
      </c>
      <c r="B321" s="125">
        <v>10280</v>
      </c>
      <c r="C321" s="125">
        <v>14010</v>
      </c>
      <c r="D321" s="125">
        <v>13580</v>
      </c>
      <c r="E321" s="125">
        <v>27055</v>
      </c>
      <c r="F321" s="125">
        <v>31342</v>
      </c>
      <c r="G321" s="125">
        <v>34949</v>
      </c>
      <c r="H321" s="125">
        <v>32490</v>
      </c>
      <c r="I321" s="125">
        <v>19216</v>
      </c>
      <c r="J321" s="125">
        <v>7392</v>
      </c>
      <c r="K321" s="125">
        <v>190314</v>
      </c>
      <c r="L321" s="121"/>
    </row>
    <row r="322" spans="1:12" x14ac:dyDescent="0.2">
      <c r="A322" s="26" t="s">
        <v>163</v>
      </c>
      <c r="B322" s="125">
        <v>10191</v>
      </c>
      <c r="C322" s="125">
        <v>13863</v>
      </c>
      <c r="D322" s="125">
        <v>13553</v>
      </c>
      <c r="E322" s="125">
        <v>27090</v>
      </c>
      <c r="F322" s="125">
        <v>30718</v>
      </c>
      <c r="G322" s="125">
        <v>34492</v>
      </c>
      <c r="H322" s="125">
        <v>32258</v>
      </c>
      <c r="I322" s="125">
        <v>20518</v>
      </c>
      <c r="J322" s="125">
        <v>7550</v>
      </c>
      <c r="K322" s="125">
        <v>190233</v>
      </c>
      <c r="L322" s="121"/>
    </row>
    <row r="323" spans="1:12" x14ac:dyDescent="0.2">
      <c r="A323" s="26" t="s">
        <v>164</v>
      </c>
      <c r="B323" s="125">
        <v>10265</v>
      </c>
      <c r="C323" s="125">
        <v>13930</v>
      </c>
      <c r="D323" s="125">
        <v>14323</v>
      </c>
      <c r="E323" s="125">
        <v>28285</v>
      </c>
      <c r="F323" s="125">
        <v>30537</v>
      </c>
      <c r="G323" s="125">
        <v>34326</v>
      </c>
      <c r="H323" s="125">
        <v>32754</v>
      </c>
      <c r="I323" s="125">
        <v>21605</v>
      </c>
      <c r="J323" s="125">
        <v>7868</v>
      </c>
      <c r="K323" s="125">
        <v>193893</v>
      </c>
      <c r="L323" s="121"/>
    </row>
    <row r="324" spans="1:12" x14ac:dyDescent="0.2">
      <c r="A324" s="26" t="s">
        <v>165</v>
      </c>
      <c r="B324" s="125">
        <v>10055</v>
      </c>
      <c r="C324" s="125">
        <v>14250</v>
      </c>
      <c r="D324" s="125">
        <v>15620</v>
      </c>
      <c r="E324" s="125">
        <v>30256</v>
      </c>
      <c r="F324" s="125">
        <v>30501</v>
      </c>
      <c r="G324" s="125">
        <v>34579</v>
      </c>
      <c r="H324" s="125">
        <v>33497</v>
      </c>
      <c r="I324" s="125">
        <v>22612</v>
      </c>
      <c r="J324" s="125">
        <v>8303</v>
      </c>
      <c r="K324" s="125">
        <v>199673</v>
      </c>
      <c r="L324" s="121"/>
    </row>
    <row r="325" spans="1:12" x14ac:dyDescent="0.2">
      <c r="A325" s="26" t="s">
        <v>166</v>
      </c>
      <c r="B325" s="125">
        <v>9826</v>
      </c>
      <c r="C325" s="125">
        <v>14324</v>
      </c>
      <c r="D325" s="125">
        <v>16658</v>
      </c>
      <c r="E325" s="125">
        <v>32057</v>
      </c>
      <c r="F325" s="125">
        <v>30423</v>
      </c>
      <c r="G325" s="125">
        <v>34440</v>
      </c>
      <c r="H325" s="125">
        <v>33862</v>
      </c>
      <c r="I325" s="125">
        <v>23595</v>
      </c>
      <c r="J325" s="125">
        <v>8846</v>
      </c>
      <c r="K325" s="125">
        <v>204031</v>
      </c>
      <c r="L325" s="121"/>
    </row>
    <row r="326" spans="1:12" x14ac:dyDescent="0.2">
      <c r="A326" s="26" t="s">
        <v>168</v>
      </c>
      <c r="B326" s="125">
        <v>9935</v>
      </c>
      <c r="C326" s="125">
        <v>14601</v>
      </c>
      <c r="D326" s="125">
        <v>17941</v>
      </c>
      <c r="E326" s="125">
        <v>33970</v>
      </c>
      <c r="F326" s="125">
        <v>30072</v>
      </c>
      <c r="G326" s="125">
        <v>34364</v>
      </c>
      <c r="H326" s="125">
        <v>34271</v>
      </c>
      <c r="I326" s="125">
        <v>24392</v>
      </c>
      <c r="J326" s="125">
        <v>9288</v>
      </c>
      <c r="K326" s="125">
        <v>208834</v>
      </c>
      <c r="L326" s="121"/>
    </row>
    <row r="327" spans="1:12" x14ac:dyDescent="0.2">
      <c r="A327" s="26" t="s">
        <v>195</v>
      </c>
      <c r="B327" s="125">
        <v>10375</v>
      </c>
      <c r="C327" s="125">
        <v>14484</v>
      </c>
      <c r="D327" s="125">
        <v>18474</v>
      </c>
      <c r="E327" s="125">
        <v>35199</v>
      </c>
      <c r="F327" s="125">
        <v>29991</v>
      </c>
      <c r="G327" s="125">
        <v>34063</v>
      </c>
      <c r="H327" s="125">
        <v>34573</v>
      </c>
      <c r="I327" s="125">
        <v>25243</v>
      </c>
      <c r="J327" s="125">
        <v>9708</v>
      </c>
      <c r="K327" s="125">
        <v>212110</v>
      </c>
      <c r="L327" s="121"/>
    </row>
    <row r="328" spans="1:12" x14ac:dyDescent="0.2">
      <c r="A328" s="26" t="s">
        <v>196</v>
      </c>
      <c r="B328" s="125">
        <v>10818</v>
      </c>
      <c r="C328" s="125">
        <v>14069</v>
      </c>
      <c r="D328" s="125">
        <v>17528</v>
      </c>
      <c r="E328" s="125">
        <v>35912</v>
      </c>
      <c r="F328" s="125">
        <v>30180</v>
      </c>
      <c r="G328" s="125">
        <v>33618</v>
      </c>
      <c r="H328" s="125">
        <v>34835</v>
      </c>
      <c r="I328" s="125">
        <v>26048</v>
      </c>
      <c r="J328" s="125">
        <v>10056</v>
      </c>
      <c r="K328" s="125">
        <v>213064</v>
      </c>
      <c r="L328" s="121"/>
    </row>
    <row r="329" spans="1:12" x14ac:dyDescent="0.2">
      <c r="A329" s="26" t="s">
        <v>210</v>
      </c>
      <c r="B329" s="125">
        <v>11443</v>
      </c>
      <c r="C329" s="125">
        <v>13966</v>
      </c>
      <c r="D329" s="125">
        <v>16758</v>
      </c>
      <c r="E329" s="125">
        <v>36273</v>
      </c>
      <c r="F329" s="125">
        <v>30348</v>
      </c>
      <c r="G329" s="125">
        <v>33286</v>
      </c>
      <c r="H329" s="125">
        <v>35220</v>
      </c>
      <c r="I329" s="125">
        <v>26386</v>
      </c>
      <c r="J329" s="125">
        <v>10674</v>
      </c>
      <c r="K329" s="125">
        <v>214354</v>
      </c>
      <c r="L329" s="121"/>
    </row>
    <row r="330" spans="1:12" x14ac:dyDescent="0.2">
      <c r="A330" s="26" t="s">
        <v>222</v>
      </c>
      <c r="B330" s="125">
        <v>13396</v>
      </c>
      <c r="C330" s="125">
        <v>14336</v>
      </c>
      <c r="D330" s="125">
        <v>17171</v>
      </c>
      <c r="E330" s="125">
        <v>37427</v>
      </c>
      <c r="F330" s="125">
        <v>30877</v>
      </c>
      <c r="G330" s="125">
        <v>33132</v>
      </c>
      <c r="H330" s="125">
        <v>35390</v>
      </c>
      <c r="I330" s="125">
        <v>27034</v>
      </c>
      <c r="J330" s="125">
        <v>11286</v>
      </c>
      <c r="K330" s="125">
        <v>220049</v>
      </c>
      <c r="L330" s="121"/>
    </row>
    <row r="331" spans="1:12" x14ac:dyDescent="0.2">
      <c r="A331" s="19" t="s">
        <v>234</v>
      </c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</row>
    <row r="332" spans="1:12" x14ac:dyDescent="0.2">
      <c r="A332" s="26" t="s">
        <v>156</v>
      </c>
      <c r="B332" s="125">
        <v>21901</v>
      </c>
      <c r="C332" s="125">
        <v>28538</v>
      </c>
      <c r="D332" s="125">
        <v>27624</v>
      </c>
      <c r="E332" s="125">
        <v>57802</v>
      </c>
      <c r="F332" s="125">
        <v>68315</v>
      </c>
      <c r="G332" s="125">
        <v>67995</v>
      </c>
      <c r="H332" s="125">
        <v>53422</v>
      </c>
      <c r="I332" s="125">
        <v>27920</v>
      </c>
      <c r="J332" s="125">
        <v>9774</v>
      </c>
      <c r="K332" s="125">
        <v>363291</v>
      </c>
      <c r="L332" s="121"/>
    </row>
    <row r="333" spans="1:12" x14ac:dyDescent="0.2">
      <c r="A333" s="26" t="s">
        <v>157</v>
      </c>
      <c r="B333" s="125">
        <v>21547</v>
      </c>
      <c r="C333" s="125">
        <v>28492</v>
      </c>
      <c r="D333" s="125">
        <v>27939</v>
      </c>
      <c r="E333" s="125">
        <v>56956</v>
      </c>
      <c r="F333" s="125">
        <v>68153</v>
      </c>
      <c r="G333" s="125">
        <v>69406</v>
      </c>
      <c r="H333" s="125">
        <v>55667</v>
      </c>
      <c r="I333" s="125">
        <v>28907</v>
      </c>
      <c r="J333" s="125">
        <v>10229</v>
      </c>
      <c r="K333" s="125">
        <v>367296</v>
      </c>
      <c r="L333" s="121"/>
    </row>
    <row r="334" spans="1:12" x14ac:dyDescent="0.2">
      <c r="A334" s="26" t="s">
        <v>158</v>
      </c>
      <c r="B334" s="125">
        <v>21139</v>
      </c>
      <c r="C334" s="125">
        <v>27654</v>
      </c>
      <c r="D334" s="125">
        <v>27103</v>
      </c>
      <c r="E334" s="125">
        <v>54968</v>
      </c>
      <c r="F334" s="125">
        <v>66664</v>
      </c>
      <c r="G334" s="125">
        <v>69586</v>
      </c>
      <c r="H334" s="125">
        <v>57451</v>
      </c>
      <c r="I334" s="125">
        <v>30014</v>
      </c>
      <c r="J334" s="125">
        <v>10780</v>
      </c>
      <c r="K334" s="125">
        <v>365359</v>
      </c>
      <c r="L334" s="121"/>
    </row>
    <row r="335" spans="1:12" x14ac:dyDescent="0.2">
      <c r="A335" s="26" t="s">
        <v>159</v>
      </c>
      <c r="B335" s="125">
        <v>20695</v>
      </c>
      <c r="C335" s="125">
        <v>27222</v>
      </c>
      <c r="D335" s="125">
        <v>26754</v>
      </c>
      <c r="E335" s="125">
        <v>54002</v>
      </c>
      <c r="F335" s="125">
        <v>65304</v>
      </c>
      <c r="G335" s="125">
        <v>69631</v>
      </c>
      <c r="H335" s="125">
        <v>59296</v>
      </c>
      <c r="I335" s="125">
        <v>31163</v>
      </c>
      <c r="J335" s="125">
        <v>11228</v>
      </c>
      <c r="K335" s="125">
        <v>365295</v>
      </c>
      <c r="L335" s="121"/>
    </row>
    <row r="336" spans="1:12" x14ac:dyDescent="0.2">
      <c r="A336" s="26" t="s">
        <v>160</v>
      </c>
      <c r="B336" s="125">
        <v>20352</v>
      </c>
      <c r="C336" s="125">
        <v>26933</v>
      </c>
      <c r="D336" s="125">
        <v>26302</v>
      </c>
      <c r="E336" s="125">
        <v>53400</v>
      </c>
      <c r="F336" s="125">
        <v>64009</v>
      </c>
      <c r="G336" s="125">
        <v>70080</v>
      </c>
      <c r="H336" s="125">
        <v>60473</v>
      </c>
      <c r="I336" s="125">
        <v>32838</v>
      </c>
      <c r="J336" s="125">
        <v>11844</v>
      </c>
      <c r="K336" s="125">
        <v>366231</v>
      </c>
      <c r="L336" s="121"/>
    </row>
    <row r="337" spans="1:12" x14ac:dyDescent="0.2">
      <c r="A337" s="26" t="s">
        <v>161</v>
      </c>
      <c r="B337" s="125">
        <v>20361</v>
      </c>
      <c r="C337" s="125">
        <v>27208</v>
      </c>
      <c r="D337" s="125">
        <v>26144</v>
      </c>
      <c r="E337" s="125">
        <v>53613</v>
      </c>
      <c r="F337" s="125">
        <v>63419</v>
      </c>
      <c r="G337" s="125">
        <v>70077</v>
      </c>
      <c r="H337" s="125">
        <v>62090</v>
      </c>
      <c r="I337" s="125">
        <v>34779</v>
      </c>
      <c r="J337" s="125">
        <v>12605</v>
      </c>
      <c r="K337" s="125">
        <v>370296</v>
      </c>
      <c r="L337" s="121"/>
    </row>
    <row r="338" spans="1:12" x14ac:dyDescent="0.2">
      <c r="A338" s="26" t="s">
        <v>162</v>
      </c>
      <c r="B338" s="125">
        <v>20576</v>
      </c>
      <c r="C338" s="125">
        <v>27548</v>
      </c>
      <c r="D338" s="125">
        <v>26997</v>
      </c>
      <c r="E338" s="125">
        <v>54981</v>
      </c>
      <c r="F338" s="125">
        <v>63697</v>
      </c>
      <c r="G338" s="125">
        <v>70283</v>
      </c>
      <c r="H338" s="125">
        <v>64197</v>
      </c>
      <c r="I338" s="125">
        <v>37081</v>
      </c>
      <c r="J338" s="125">
        <v>13945</v>
      </c>
      <c r="K338" s="125">
        <v>379305</v>
      </c>
      <c r="L338" s="121"/>
    </row>
    <row r="339" spans="1:12" x14ac:dyDescent="0.2">
      <c r="A339" s="26" t="s">
        <v>163</v>
      </c>
      <c r="B339" s="125">
        <v>20437</v>
      </c>
      <c r="C339" s="125">
        <v>27371</v>
      </c>
      <c r="D339" s="125">
        <v>27107</v>
      </c>
      <c r="E339" s="125">
        <v>55033</v>
      </c>
      <c r="F339" s="125">
        <v>62298</v>
      </c>
      <c r="G339" s="125">
        <v>69659</v>
      </c>
      <c r="H339" s="125">
        <v>64261</v>
      </c>
      <c r="I339" s="125">
        <v>39703</v>
      </c>
      <c r="J339" s="125">
        <v>14346</v>
      </c>
      <c r="K339" s="125">
        <v>380215</v>
      </c>
      <c r="L339" s="121"/>
    </row>
    <row r="340" spans="1:12" x14ac:dyDescent="0.2">
      <c r="A340" s="26" t="s">
        <v>164</v>
      </c>
      <c r="B340" s="125">
        <v>20571</v>
      </c>
      <c r="C340" s="125">
        <v>27643</v>
      </c>
      <c r="D340" s="125">
        <v>28346</v>
      </c>
      <c r="E340" s="125">
        <v>57190</v>
      </c>
      <c r="F340" s="125">
        <v>62175</v>
      </c>
      <c r="G340" s="125">
        <v>69439</v>
      </c>
      <c r="H340" s="125">
        <v>65481</v>
      </c>
      <c r="I340" s="125">
        <v>41905</v>
      </c>
      <c r="J340" s="125">
        <v>15023</v>
      </c>
      <c r="K340" s="125">
        <v>387773</v>
      </c>
      <c r="L340" s="121"/>
    </row>
    <row r="341" spans="1:12" x14ac:dyDescent="0.2">
      <c r="A341" s="26" t="s">
        <v>165</v>
      </c>
      <c r="B341" s="125">
        <v>20030</v>
      </c>
      <c r="C341" s="125">
        <v>28439</v>
      </c>
      <c r="D341" s="125">
        <v>30321</v>
      </c>
      <c r="E341" s="125">
        <v>60624</v>
      </c>
      <c r="F341" s="125">
        <v>62032</v>
      </c>
      <c r="G341" s="125">
        <v>69907</v>
      </c>
      <c r="H341" s="125">
        <v>67000</v>
      </c>
      <c r="I341" s="125">
        <v>44272</v>
      </c>
      <c r="J341" s="125">
        <v>15827</v>
      </c>
      <c r="K341" s="125">
        <v>398452</v>
      </c>
      <c r="L341" s="121"/>
    </row>
    <row r="342" spans="1:12" x14ac:dyDescent="0.2">
      <c r="A342" s="26" t="s">
        <v>166</v>
      </c>
      <c r="B342" s="125">
        <v>19645</v>
      </c>
      <c r="C342" s="125">
        <v>28473</v>
      </c>
      <c r="D342" s="125">
        <v>32105</v>
      </c>
      <c r="E342" s="125">
        <v>63631</v>
      </c>
      <c r="F342" s="125">
        <v>61690</v>
      </c>
      <c r="G342" s="125">
        <v>69542</v>
      </c>
      <c r="H342" s="125">
        <v>67794</v>
      </c>
      <c r="I342" s="125">
        <v>46452</v>
      </c>
      <c r="J342" s="125">
        <v>17105</v>
      </c>
      <c r="K342" s="125">
        <v>406437</v>
      </c>
      <c r="L342" s="121"/>
    </row>
    <row r="343" spans="1:12" x14ac:dyDescent="0.2">
      <c r="A343" s="26" t="s">
        <v>168</v>
      </c>
      <c r="B343" s="125">
        <v>19928</v>
      </c>
      <c r="C343" s="125">
        <v>28968</v>
      </c>
      <c r="D343" s="125">
        <v>34523</v>
      </c>
      <c r="E343" s="125">
        <v>66998</v>
      </c>
      <c r="F343" s="125">
        <v>61098</v>
      </c>
      <c r="G343" s="125">
        <v>69428</v>
      </c>
      <c r="H343" s="125">
        <v>68903</v>
      </c>
      <c r="I343" s="125">
        <v>48248</v>
      </c>
      <c r="J343" s="125">
        <v>18169</v>
      </c>
      <c r="K343" s="125">
        <v>416263</v>
      </c>
      <c r="L343" s="121"/>
    </row>
    <row r="344" spans="1:12" x14ac:dyDescent="0.2">
      <c r="A344" s="26" t="s">
        <v>195</v>
      </c>
      <c r="B344" s="125">
        <v>20653</v>
      </c>
      <c r="C344" s="125">
        <v>28922</v>
      </c>
      <c r="D344" s="125">
        <v>35648</v>
      </c>
      <c r="E344" s="125">
        <v>69647</v>
      </c>
      <c r="F344" s="125">
        <v>61090</v>
      </c>
      <c r="G344" s="125">
        <v>68981</v>
      </c>
      <c r="H344" s="125">
        <v>69780</v>
      </c>
      <c r="I344" s="125">
        <v>49976</v>
      </c>
      <c r="J344" s="125">
        <v>18979</v>
      </c>
      <c r="K344" s="125">
        <v>423676</v>
      </c>
      <c r="L344" s="121"/>
    </row>
    <row r="345" spans="1:12" x14ac:dyDescent="0.2">
      <c r="A345" s="26" t="s">
        <v>196</v>
      </c>
      <c r="B345" s="125">
        <v>21534</v>
      </c>
      <c r="C345" s="125">
        <v>27980</v>
      </c>
      <c r="D345" s="125">
        <v>34377</v>
      </c>
      <c r="E345" s="125">
        <v>71199</v>
      </c>
      <c r="F345" s="125">
        <v>61279</v>
      </c>
      <c r="G345" s="125">
        <v>68410</v>
      </c>
      <c r="H345" s="125">
        <v>70264</v>
      </c>
      <c r="I345" s="125">
        <v>51831</v>
      </c>
      <c r="J345" s="125">
        <v>19654</v>
      </c>
      <c r="K345" s="125">
        <v>426528</v>
      </c>
      <c r="L345" s="121"/>
    </row>
    <row r="346" spans="1:12" x14ac:dyDescent="0.2">
      <c r="A346" s="26" t="s">
        <v>210</v>
      </c>
      <c r="B346" s="125">
        <v>22567</v>
      </c>
      <c r="C346" s="125">
        <v>27693</v>
      </c>
      <c r="D346" s="125">
        <v>33304</v>
      </c>
      <c r="E346" s="125">
        <v>72165</v>
      </c>
      <c r="F346" s="125">
        <v>61661</v>
      </c>
      <c r="G346" s="125">
        <v>67684</v>
      </c>
      <c r="H346" s="125">
        <v>70979</v>
      </c>
      <c r="I346" s="125">
        <v>52990</v>
      </c>
      <c r="J346" s="125">
        <v>20822</v>
      </c>
      <c r="K346" s="125">
        <v>429865</v>
      </c>
      <c r="L346" s="121"/>
    </row>
    <row r="347" spans="1:12" x14ac:dyDescent="0.2">
      <c r="A347" s="30" t="s">
        <v>222</v>
      </c>
      <c r="B347" s="133">
        <v>23373</v>
      </c>
      <c r="C347" s="133">
        <v>28117</v>
      </c>
      <c r="D347" s="133">
        <v>33614</v>
      </c>
      <c r="E347" s="133">
        <v>74216</v>
      </c>
      <c r="F347" s="133">
        <v>62886</v>
      </c>
      <c r="G347" s="133">
        <v>67563</v>
      </c>
      <c r="H347" s="133">
        <v>71329</v>
      </c>
      <c r="I347" s="133">
        <v>54434</v>
      </c>
      <c r="J347" s="133">
        <v>22099</v>
      </c>
      <c r="K347" s="133">
        <v>437631</v>
      </c>
      <c r="L347" s="121"/>
    </row>
    <row r="348" spans="1:12" x14ac:dyDescent="0.2">
      <c r="A348" s="26" t="s">
        <v>18</v>
      </c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</row>
    <row r="349" spans="1:12" x14ac:dyDescent="0.2">
      <c r="A349" s="19" t="s">
        <v>236</v>
      </c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</row>
    <row r="352" spans="1:12" x14ac:dyDescent="0.2">
      <c r="A352" s="6" t="s">
        <v>260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spans="1:12" x14ac:dyDescent="0.2">
      <c r="A353" s="206" t="s">
        <v>154</v>
      </c>
      <c r="B353" s="208" t="s">
        <v>224</v>
      </c>
      <c r="C353" s="208"/>
      <c r="D353" s="208"/>
      <c r="E353" s="208"/>
      <c r="F353" s="208"/>
      <c r="G353" s="208"/>
      <c r="H353" s="208"/>
      <c r="I353" s="208"/>
      <c r="J353" s="208"/>
      <c r="K353" s="208"/>
    </row>
    <row r="354" spans="1:12" x14ac:dyDescent="0.2">
      <c r="A354" s="209"/>
      <c r="B354" s="9" t="s">
        <v>225</v>
      </c>
      <c r="C354" s="9" t="s">
        <v>226</v>
      </c>
      <c r="D354" s="9" t="s">
        <v>227</v>
      </c>
      <c r="E354" s="9" t="s">
        <v>228</v>
      </c>
      <c r="F354" s="9" t="s">
        <v>229</v>
      </c>
      <c r="G354" s="9" t="s">
        <v>230</v>
      </c>
      <c r="H354" s="9" t="s">
        <v>231</v>
      </c>
      <c r="I354" s="9" t="s">
        <v>232</v>
      </c>
      <c r="J354" s="9" t="s">
        <v>233</v>
      </c>
      <c r="K354" s="9" t="s">
        <v>7</v>
      </c>
    </row>
    <row r="355" spans="1:12" x14ac:dyDescent="0.2">
      <c r="A355" s="123" t="s">
        <v>155</v>
      </c>
      <c r="B355" s="8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5"/>
    </row>
    <row r="356" spans="1:12" x14ac:dyDescent="0.2">
      <c r="A356" s="26" t="s">
        <v>156</v>
      </c>
      <c r="B356" s="125">
        <v>3162</v>
      </c>
      <c r="C356" s="125">
        <v>5458</v>
      </c>
      <c r="D356" s="125">
        <v>7235</v>
      </c>
      <c r="E356" s="125">
        <v>14042</v>
      </c>
      <c r="F356" s="125">
        <v>12754</v>
      </c>
      <c r="G356" s="125">
        <v>10291</v>
      </c>
      <c r="H356" s="125">
        <v>5038</v>
      </c>
      <c r="I356" s="125">
        <v>1304</v>
      </c>
      <c r="J356" s="125">
        <v>289</v>
      </c>
      <c r="K356" s="125">
        <v>59573</v>
      </c>
      <c r="L356" s="121"/>
    </row>
    <row r="357" spans="1:12" x14ac:dyDescent="0.2">
      <c r="A357" s="26" t="s">
        <v>157</v>
      </c>
      <c r="B357" s="125">
        <v>3142</v>
      </c>
      <c r="C357" s="125">
        <v>5426</v>
      </c>
      <c r="D357" s="125">
        <v>7318</v>
      </c>
      <c r="E357" s="125">
        <v>13817</v>
      </c>
      <c r="F357" s="125">
        <v>12830</v>
      </c>
      <c r="G357" s="125">
        <v>10429</v>
      </c>
      <c r="H357" s="125">
        <v>5348</v>
      </c>
      <c r="I357" s="125">
        <v>1435</v>
      </c>
      <c r="J357" s="125">
        <v>319</v>
      </c>
      <c r="K357" s="125">
        <v>60064</v>
      </c>
      <c r="L357" s="121"/>
    </row>
    <row r="358" spans="1:12" x14ac:dyDescent="0.2">
      <c r="A358" s="26" t="s">
        <v>158</v>
      </c>
      <c r="B358" s="125">
        <v>3182</v>
      </c>
      <c r="C358" s="125">
        <v>5736</v>
      </c>
      <c r="D358" s="125">
        <v>7573</v>
      </c>
      <c r="E358" s="125">
        <v>14396</v>
      </c>
      <c r="F358" s="125">
        <v>13076</v>
      </c>
      <c r="G358" s="125">
        <v>10863</v>
      </c>
      <c r="H358" s="125">
        <v>5686</v>
      </c>
      <c r="I358" s="125">
        <v>1609</v>
      </c>
      <c r="J358" s="125">
        <v>343</v>
      </c>
      <c r="K358" s="125">
        <v>62464</v>
      </c>
      <c r="L358" s="121"/>
    </row>
    <row r="359" spans="1:12" x14ac:dyDescent="0.2">
      <c r="A359" s="26" t="s">
        <v>159</v>
      </c>
      <c r="B359" s="125">
        <v>3099</v>
      </c>
      <c r="C359" s="125">
        <v>6167</v>
      </c>
      <c r="D359" s="125">
        <v>8068</v>
      </c>
      <c r="E359" s="125">
        <v>15256</v>
      </c>
      <c r="F359" s="125">
        <v>13404</v>
      </c>
      <c r="G359" s="125">
        <v>11352</v>
      </c>
      <c r="H359" s="125">
        <v>6091</v>
      </c>
      <c r="I359" s="125">
        <v>1791</v>
      </c>
      <c r="J359" s="125">
        <v>374</v>
      </c>
      <c r="K359" s="125">
        <v>65602</v>
      </c>
      <c r="L359" s="121"/>
    </row>
    <row r="360" spans="1:12" x14ac:dyDescent="0.2">
      <c r="A360" s="26" t="s">
        <v>160</v>
      </c>
      <c r="B360" s="125">
        <v>3113</v>
      </c>
      <c r="C360" s="125">
        <v>6225</v>
      </c>
      <c r="D360" s="125">
        <v>8316</v>
      </c>
      <c r="E360" s="125">
        <v>15754</v>
      </c>
      <c r="F360" s="125">
        <v>13526</v>
      </c>
      <c r="G360" s="125">
        <v>11499</v>
      </c>
      <c r="H360" s="125">
        <v>6441</v>
      </c>
      <c r="I360" s="125">
        <v>1966</v>
      </c>
      <c r="J360" s="125">
        <v>405</v>
      </c>
      <c r="K360" s="125">
        <v>67245</v>
      </c>
      <c r="L360" s="121"/>
    </row>
    <row r="361" spans="1:12" x14ac:dyDescent="0.2">
      <c r="A361" s="26" t="s">
        <v>161</v>
      </c>
      <c r="B361" s="125">
        <v>2990</v>
      </c>
      <c r="C361" s="125">
        <v>6222</v>
      </c>
      <c r="D361" s="125">
        <v>8441</v>
      </c>
      <c r="E361" s="125">
        <v>16224</v>
      </c>
      <c r="F361" s="125">
        <v>13459</v>
      </c>
      <c r="G361" s="125">
        <v>11606</v>
      </c>
      <c r="H361" s="125">
        <v>6617</v>
      </c>
      <c r="I361" s="125">
        <v>2087</v>
      </c>
      <c r="J361" s="125">
        <v>443</v>
      </c>
      <c r="K361" s="125">
        <v>68089</v>
      </c>
      <c r="L361" s="121"/>
    </row>
    <row r="362" spans="1:12" x14ac:dyDescent="0.2">
      <c r="A362" s="26" t="s">
        <v>162</v>
      </c>
      <c r="B362" s="125">
        <v>3134</v>
      </c>
      <c r="C362" s="125">
        <v>6178</v>
      </c>
      <c r="D362" s="125">
        <v>8561</v>
      </c>
      <c r="E362" s="125">
        <v>16901</v>
      </c>
      <c r="F362" s="125">
        <v>13712</v>
      </c>
      <c r="G362" s="125">
        <v>11611</v>
      </c>
      <c r="H362" s="125">
        <v>6880</v>
      </c>
      <c r="I362" s="125">
        <v>2265</v>
      </c>
      <c r="J362" s="125">
        <v>455</v>
      </c>
      <c r="K362" s="125">
        <v>69697</v>
      </c>
      <c r="L362" s="121"/>
    </row>
    <row r="363" spans="1:12" x14ac:dyDescent="0.2">
      <c r="A363" s="26" t="s">
        <v>163</v>
      </c>
      <c r="B363" s="125">
        <v>3269</v>
      </c>
      <c r="C363" s="125">
        <v>6156</v>
      </c>
      <c r="D363" s="125">
        <v>8749</v>
      </c>
      <c r="E363" s="125">
        <v>17400</v>
      </c>
      <c r="F363" s="125">
        <v>13718</v>
      </c>
      <c r="G363" s="125">
        <v>11619</v>
      </c>
      <c r="H363" s="125">
        <v>7080</v>
      </c>
      <c r="I363" s="125">
        <v>2464</v>
      </c>
      <c r="J363" s="125">
        <v>505</v>
      </c>
      <c r="K363" s="125">
        <v>70960</v>
      </c>
      <c r="L363" s="121"/>
    </row>
    <row r="364" spans="1:12" x14ac:dyDescent="0.2">
      <c r="A364" s="136">
        <v>43281</v>
      </c>
      <c r="B364" s="125">
        <v>3416</v>
      </c>
      <c r="C364" s="125">
        <v>6190</v>
      </c>
      <c r="D364" s="125">
        <v>8641</v>
      </c>
      <c r="E364" s="125">
        <v>17629</v>
      </c>
      <c r="F364" s="125">
        <v>13762</v>
      </c>
      <c r="G364" s="125">
        <v>11686</v>
      </c>
      <c r="H364" s="125">
        <v>7324</v>
      </c>
      <c r="I364" s="125">
        <v>2698</v>
      </c>
      <c r="J364" s="125">
        <v>570</v>
      </c>
      <c r="K364" s="125">
        <v>71916</v>
      </c>
      <c r="L364" s="121"/>
    </row>
    <row r="365" spans="1:12" x14ac:dyDescent="0.2">
      <c r="A365" s="26" t="s">
        <v>165</v>
      </c>
      <c r="B365" s="125">
        <v>3321</v>
      </c>
      <c r="C365" s="125">
        <v>6054</v>
      </c>
      <c r="D365" s="125">
        <v>8568</v>
      </c>
      <c r="E365" s="125">
        <v>17729</v>
      </c>
      <c r="F365" s="125">
        <v>13688</v>
      </c>
      <c r="G365" s="125">
        <v>11735</v>
      </c>
      <c r="H365" s="125">
        <v>7521</v>
      </c>
      <c r="I365" s="125">
        <v>2953</v>
      </c>
      <c r="J365" s="125">
        <v>644</v>
      </c>
      <c r="K365" s="125">
        <v>72213</v>
      </c>
      <c r="L365" s="121"/>
    </row>
    <row r="366" spans="1:12" x14ac:dyDescent="0.2">
      <c r="A366" s="26" t="s">
        <v>166</v>
      </c>
      <c r="B366" s="125">
        <v>3358</v>
      </c>
      <c r="C366" s="125">
        <v>5887</v>
      </c>
      <c r="D366" s="125">
        <v>8652</v>
      </c>
      <c r="E366" s="125">
        <v>18185</v>
      </c>
      <c r="F366" s="125">
        <v>13641</v>
      </c>
      <c r="G366" s="125">
        <v>11689</v>
      </c>
      <c r="H366" s="125">
        <v>7768</v>
      </c>
      <c r="I366" s="125">
        <v>3221</v>
      </c>
      <c r="J366" s="125">
        <v>767</v>
      </c>
      <c r="K366" s="125">
        <v>73168</v>
      </c>
      <c r="L366" s="121"/>
    </row>
    <row r="367" spans="1:12" x14ac:dyDescent="0.2">
      <c r="A367" s="26" t="s">
        <v>168</v>
      </c>
      <c r="B367" s="125">
        <v>3336</v>
      </c>
      <c r="C367" s="125">
        <v>5918</v>
      </c>
      <c r="D367" s="125">
        <v>8682</v>
      </c>
      <c r="E367" s="125">
        <v>18546</v>
      </c>
      <c r="F367" s="125">
        <v>13689</v>
      </c>
      <c r="G367" s="125">
        <v>11853</v>
      </c>
      <c r="H367" s="125">
        <v>7962</v>
      </c>
      <c r="I367" s="125">
        <v>3489</v>
      </c>
      <c r="J367" s="125">
        <v>858</v>
      </c>
      <c r="K367" s="125">
        <v>74333</v>
      </c>
      <c r="L367" s="121"/>
    </row>
    <row r="368" spans="1:12" x14ac:dyDescent="0.2">
      <c r="A368" s="26" t="s">
        <v>195</v>
      </c>
      <c r="B368" s="125">
        <v>3205</v>
      </c>
      <c r="C368" s="125">
        <v>5771</v>
      </c>
      <c r="D368" s="125">
        <v>8461</v>
      </c>
      <c r="E368" s="125">
        <v>18473</v>
      </c>
      <c r="F368" s="125">
        <v>13703</v>
      </c>
      <c r="G368" s="125">
        <v>11789</v>
      </c>
      <c r="H368" s="125">
        <v>8077</v>
      </c>
      <c r="I368" s="125">
        <v>3722</v>
      </c>
      <c r="J368" s="125">
        <v>989</v>
      </c>
      <c r="K368" s="125">
        <v>74190</v>
      </c>
      <c r="L368" s="121"/>
    </row>
    <row r="369" spans="1:12" x14ac:dyDescent="0.2">
      <c r="A369" s="26" t="s">
        <v>196</v>
      </c>
      <c r="B369" s="125">
        <v>3810</v>
      </c>
      <c r="C369" s="125">
        <v>6075</v>
      </c>
      <c r="D369" s="125">
        <v>8856</v>
      </c>
      <c r="E369" s="125">
        <v>18533</v>
      </c>
      <c r="F369" s="125">
        <v>13659</v>
      </c>
      <c r="G369" s="125">
        <v>11709</v>
      </c>
      <c r="H369" s="125">
        <v>7928</v>
      </c>
      <c r="I369" s="125">
        <v>3794</v>
      </c>
      <c r="J369" s="125">
        <v>1012</v>
      </c>
      <c r="K369" s="125">
        <v>75376</v>
      </c>
      <c r="L369" s="121"/>
    </row>
    <row r="370" spans="1:12" x14ac:dyDescent="0.2">
      <c r="A370" s="26" t="s">
        <v>210</v>
      </c>
      <c r="B370" s="125">
        <v>3905</v>
      </c>
      <c r="C370" s="125">
        <v>6276</v>
      </c>
      <c r="D370" s="125">
        <v>8668</v>
      </c>
      <c r="E370" s="125">
        <v>18725</v>
      </c>
      <c r="F370" s="125">
        <v>13873</v>
      </c>
      <c r="G370" s="125">
        <v>11669</v>
      </c>
      <c r="H370" s="125">
        <v>8042</v>
      </c>
      <c r="I370" s="125">
        <v>4009</v>
      </c>
      <c r="J370" s="125">
        <v>1155</v>
      </c>
      <c r="K370" s="125">
        <v>76322</v>
      </c>
      <c r="L370" s="121"/>
    </row>
    <row r="371" spans="1:12" x14ac:dyDescent="0.2">
      <c r="A371" s="26" t="s">
        <v>222</v>
      </c>
      <c r="B371" s="125">
        <v>3927</v>
      </c>
      <c r="C371" s="125">
        <v>6223</v>
      </c>
      <c r="D371" s="125">
        <v>8810</v>
      </c>
      <c r="E371" s="125">
        <v>19040</v>
      </c>
      <c r="F371" s="125">
        <v>14349</v>
      </c>
      <c r="G371" s="125">
        <v>11770</v>
      </c>
      <c r="H371" s="125">
        <v>8081</v>
      </c>
      <c r="I371" s="125">
        <v>4274</v>
      </c>
      <c r="J371" s="125">
        <v>1309</v>
      </c>
      <c r="K371" s="125">
        <v>77783</v>
      </c>
      <c r="L371" s="121"/>
    </row>
    <row r="372" spans="1:12" x14ac:dyDescent="0.2">
      <c r="A372" s="19" t="s">
        <v>167</v>
      </c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</row>
    <row r="373" spans="1:12" x14ac:dyDescent="0.2">
      <c r="A373" s="26" t="s">
        <v>156</v>
      </c>
      <c r="B373" s="125">
        <v>3535</v>
      </c>
      <c r="C373" s="125">
        <v>7034</v>
      </c>
      <c r="D373" s="125">
        <v>8187</v>
      </c>
      <c r="E373" s="125">
        <v>15715</v>
      </c>
      <c r="F373" s="125">
        <v>15307</v>
      </c>
      <c r="G373" s="125">
        <v>12974</v>
      </c>
      <c r="H373" s="125">
        <v>7587</v>
      </c>
      <c r="I373" s="125">
        <v>2179</v>
      </c>
      <c r="J373" s="125">
        <v>470</v>
      </c>
      <c r="K373" s="125">
        <v>72988</v>
      </c>
      <c r="L373" s="121"/>
    </row>
    <row r="374" spans="1:12" x14ac:dyDescent="0.2">
      <c r="A374" s="26" t="s">
        <v>157</v>
      </c>
      <c r="B374" s="125">
        <v>3539</v>
      </c>
      <c r="C374" s="125">
        <v>6936</v>
      </c>
      <c r="D374" s="125">
        <v>8291</v>
      </c>
      <c r="E374" s="125">
        <v>15360</v>
      </c>
      <c r="F374" s="125">
        <v>15090</v>
      </c>
      <c r="G374" s="125">
        <v>13001</v>
      </c>
      <c r="H374" s="125">
        <v>7908</v>
      </c>
      <c r="I374" s="125">
        <v>2348</v>
      </c>
      <c r="J374" s="125">
        <v>498</v>
      </c>
      <c r="K374" s="125">
        <v>72971</v>
      </c>
      <c r="L374" s="121"/>
    </row>
    <row r="375" spans="1:12" x14ac:dyDescent="0.2">
      <c r="A375" s="26" t="s">
        <v>158</v>
      </c>
      <c r="B375" s="125">
        <v>3589</v>
      </c>
      <c r="C375" s="125">
        <v>7302</v>
      </c>
      <c r="D375" s="125">
        <v>8861</v>
      </c>
      <c r="E375" s="125">
        <v>15834</v>
      </c>
      <c r="F375" s="125">
        <v>15233</v>
      </c>
      <c r="G375" s="125">
        <v>13344</v>
      </c>
      <c r="H375" s="125">
        <v>8350</v>
      </c>
      <c r="I375" s="125">
        <v>2555</v>
      </c>
      <c r="J375" s="125">
        <v>545</v>
      </c>
      <c r="K375" s="125">
        <v>75613</v>
      </c>
      <c r="L375" s="121"/>
    </row>
    <row r="376" spans="1:12" x14ac:dyDescent="0.2">
      <c r="A376" s="26" t="s">
        <v>159</v>
      </c>
      <c r="B376" s="125">
        <v>3522</v>
      </c>
      <c r="C376" s="125">
        <v>7840</v>
      </c>
      <c r="D376" s="125">
        <v>9702</v>
      </c>
      <c r="E376" s="125">
        <v>17425</v>
      </c>
      <c r="F376" s="125">
        <v>15896</v>
      </c>
      <c r="G376" s="125">
        <v>14109</v>
      </c>
      <c r="H376" s="125">
        <v>8913</v>
      </c>
      <c r="I376" s="125">
        <v>2822</v>
      </c>
      <c r="J376" s="125">
        <v>573</v>
      </c>
      <c r="K376" s="125">
        <v>80802</v>
      </c>
      <c r="L376" s="121"/>
    </row>
    <row r="377" spans="1:12" x14ac:dyDescent="0.2">
      <c r="A377" s="26" t="s">
        <v>160</v>
      </c>
      <c r="B377" s="125">
        <v>3482</v>
      </c>
      <c r="C377" s="125">
        <v>7892</v>
      </c>
      <c r="D377" s="125">
        <v>10322</v>
      </c>
      <c r="E377" s="125">
        <v>18168</v>
      </c>
      <c r="F377" s="125">
        <v>16196</v>
      </c>
      <c r="G377" s="125">
        <v>14442</v>
      </c>
      <c r="H377" s="125">
        <v>9243</v>
      </c>
      <c r="I377" s="125">
        <v>3054</v>
      </c>
      <c r="J377" s="125">
        <v>609</v>
      </c>
      <c r="K377" s="125">
        <v>83408</v>
      </c>
      <c r="L377" s="121"/>
    </row>
    <row r="378" spans="1:12" x14ac:dyDescent="0.2">
      <c r="A378" s="26" t="s">
        <v>161</v>
      </c>
      <c r="B378" s="125">
        <v>3448</v>
      </c>
      <c r="C378" s="125">
        <v>7508</v>
      </c>
      <c r="D378" s="125">
        <v>10476</v>
      </c>
      <c r="E378" s="125">
        <v>18668</v>
      </c>
      <c r="F378" s="125">
        <v>16306</v>
      </c>
      <c r="G378" s="125">
        <v>14486</v>
      </c>
      <c r="H378" s="125">
        <v>9482</v>
      </c>
      <c r="I378" s="125">
        <v>3172</v>
      </c>
      <c r="J378" s="125">
        <v>633</v>
      </c>
      <c r="K378" s="125">
        <v>84179</v>
      </c>
      <c r="L378" s="121"/>
    </row>
    <row r="379" spans="1:12" x14ac:dyDescent="0.2">
      <c r="A379" s="26" t="s">
        <v>162</v>
      </c>
      <c r="B379" s="125">
        <v>3488</v>
      </c>
      <c r="C379" s="125">
        <v>7493</v>
      </c>
      <c r="D379" s="125">
        <v>10165</v>
      </c>
      <c r="E379" s="125">
        <v>19147</v>
      </c>
      <c r="F379" s="125">
        <v>16298</v>
      </c>
      <c r="G379" s="125">
        <v>14489</v>
      </c>
      <c r="H379" s="125">
        <v>9588</v>
      </c>
      <c r="I379" s="125">
        <v>3389</v>
      </c>
      <c r="J379" s="125">
        <v>651</v>
      </c>
      <c r="K379" s="125">
        <v>84708</v>
      </c>
      <c r="L379" s="121"/>
    </row>
    <row r="380" spans="1:12" x14ac:dyDescent="0.2">
      <c r="A380" s="26" t="s">
        <v>163</v>
      </c>
      <c r="B380" s="125">
        <v>3611</v>
      </c>
      <c r="C380" s="125">
        <v>7599</v>
      </c>
      <c r="D380" s="125">
        <v>9889</v>
      </c>
      <c r="E380" s="125">
        <v>19484</v>
      </c>
      <c r="F380" s="125">
        <v>16225</v>
      </c>
      <c r="G380" s="125">
        <v>14557</v>
      </c>
      <c r="H380" s="125">
        <v>9653</v>
      </c>
      <c r="I380" s="125">
        <v>3688</v>
      </c>
      <c r="J380" s="125">
        <v>678</v>
      </c>
      <c r="K380" s="125">
        <v>85384</v>
      </c>
      <c r="L380" s="121"/>
    </row>
    <row r="381" spans="1:12" x14ac:dyDescent="0.2">
      <c r="A381" s="136">
        <v>43281</v>
      </c>
      <c r="B381" s="125">
        <v>3599</v>
      </c>
      <c r="C381" s="125">
        <v>7424</v>
      </c>
      <c r="D381" s="125">
        <v>9588</v>
      </c>
      <c r="E381" s="125">
        <v>19634</v>
      </c>
      <c r="F381" s="125">
        <v>16162</v>
      </c>
      <c r="G381" s="125">
        <v>14417</v>
      </c>
      <c r="H381" s="125">
        <v>9803</v>
      </c>
      <c r="I381" s="125">
        <v>4000</v>
      </c>
      <c r="J381" s="125">
        <v>753</v>
      </c>
      <c r="K381" s="125">
        <v>85380</v>
      </c>
      <c r="L381" s="121"/>
    </row>
    <row r="382" spans="1:12" x14ac:dyDescent="0.2">
      <c r="A382" s="26" t="s">
        <v>165</v>
      </c>
      <c r="B382" s="125">
        <v>3599</v>
      </c>
      <c r="C382" s="125">
        <v>7424</v>
      </c>
      <c r="D382" s="125">
        <v>9588</v>
      </c>
      <c r="E382" s="125">
        <v>19634</v>
      </c>
      <c r="F382" s="125">
        <v>16162</v>
      </c>
      <c r="G382" s="125">
        <v>14417</v>
      </c>
      <c r="H382" s="125">
        <v>9803</v>
      </c>
      <c r="I382" s="125">
        <v>4000</v>
      </c>
      <c r="J382" s="125">
        <v>753</v>
      </c>
      <c r="K382" s="125">
        <v>85380</v>
      </c>
      <c r="L382" s="121"/>
    </row>
    <row r="383" spans="1:12" x14ac:dyDescent="0.2">
      <c r="A383" s="26" t="s">
        <v>166</v>
      </c>
      <c r="B383" s="125">
        <v>3508</v>
      </c>
      <c r="C383" s="125">
        <v>6976</v>
      </c>
      <c r="D383" s="125">
        <v>9351</v>
      </c>
      <c r="E383" s="125">
        <v>19440</v>
      </c>
      <c r="F383" s="125">
        <v>15515</v>
      </c>
      <c r="G383" s="125">
        <v>14241</v>
      </c>
      <c r="H383" s="125">
        <v>9990</v>
      </c>
      <c r="I383" s="125">
        <v>4630</v>
      </c>
      <c r="J383" s="125">
        <v>1012</v>
      </c>
      <c r="K383" s="125">
        <v>84663</v>
      </c>
      <c r="L383" s="121"/>
    </row>
    <row r="384" spans="1:12" x14ac:dyDescent="0.2">
      <c r="A384" s="26" t="s">
        <v>168</v>
      </c>
      <c r="B384" s="125">
        <v>3564</v>
      </c>
      <c r="C384" s="125">
        <v>7002</v>
      </c>
      <c r="D384" s="125">
        <v>9145</v>
      </c>
      <c r="E384" s="125">
        <v>19511</v>
      </c>
      <c r="F384" s="125">
        <v>15181</v>
      </c>
      <c r="G384" s="125">
        <v>14272</v>
      </c>
      <c r="H384" s="125">
        <v>10160</v>
      </c>
      <c r="I384" s="125">
        <v>4907</v>
      </c>
      <c r="J384" s="125">
        <v>1133</v>
      </c>
      <c r="K384" s="125">
        <v>84875</v>
      </c>
      <c r="L384" s="121"/>
    </row>
    <row r="385" spans="1:12" x14ac:dyDescent="0.2">
      <c r="A385" s="26" t="s">
        <v>195</v>
      </c>
      <c r="B385" s="125">
        <v>3641</v>
      </c>
      <c r="C385" s="125">
        <v>6850</v>
      </c>
      <c r="D385" s="125">
        <v>9096</v>
      </c>
      <c r="E385" s="125">
        <v>19455</v>
      </c>
      <c r="F385" s="125">
        <v>14989</v>
      </c>
      <c r="G385" s="125">
        <v>14156</v>
      </c>
      <c r="H385" s="125">
        <v>10296</v>
      </c>
      <c r="I385" s="125">
        <v>5111</v>
      </c>
      <c r="J385" s="125">
        <v>1279</v>
      </c>
      <c r="K385" s="125">
        <v>84873</v>
      </c>
      <c r="L385" s="121"/>
    </row>
    <row r="386" spans="1:12" x14ac:dyDescent="0.2">
      <c r="A386" s="26" t="s">
        <v>196</v>
      </c>
      <c r="B386" s="125">
        <v>4264</v>
      </c>
      <c r="C386" s="125">
        <v>7319</v>
      </c>
      <c r="D386" s="125">
        <v>9482</v>
      </c>
      <c r="E386" s="125">
        <v>19372</v>
      </c>
      <c r="F386" s="125">
        <v>15033</v>
      </c>
      <c r="G386" s="125">
        <v>13934</v>
      </c>
      <c r="H386" s="125">
        <v>10164</v>
      </c>
      <c r="I386" s="125">
        <v>5117</v>
      </c>
      <c r="J386" s="125">
        <v>1293</v>
      </c>
      <c r="K386" s="125">
        <v>85978</v>
      </c>
      <c r="L386" s="121"/>
    </row>
    <row r="387" spans="1:12" x14ac:dyDescent="0.2">
      <c r="A387" s="26" t="s">
        <v>210</v>
      </c>
      <c r="B387" s="125">
        <v>4420</v>
      </c>
      <c r="C387" s="125">
        <v>7656</v>
      </c>
      <c r="D387" s="125">
        <v>9592</v>
      </c>
      <c r="E387" s="125">
        <v>19347</v>
      </c>
      <c r="F387" s="125">
        <v>15188</v>
      </c>
      <c r="G387" s="125">
        <v>13783</v>
      </c>
      <c r="H387" s="125">
        <v>10291</v>
      </c>
      <c r="I387" s="125">
        <v>5362</v>
      </c>
      <c r="J387" s="125">
        <v>1446</v>
      </c>
      <c r="K387" s="125">
        <v>87085</v>
      </c>
      <c r="L387" s="121"/>
    </row>
    <row r="388" spans="1:12" x14ac:dyDescent="0.2">
      <c r="A388" s="26" t="s">
        <v>222</v>
      </c>
      <c r="B388" s="125">
        <v>4530</v>
      </c>
      <c r="C388" s="125">
        <v>7846</v>
      </c>
      <c r="D388" s="125">
        <v>9943</v>
      </c>
      <c r="E388" s="125">
        <v>20036</v>
      </c>
      <c r="F388" s="125">
        <v>15611</v>
      </c>
      <c r="G388" s="125">
        <v>13701</v>
      </c>
      <c r="H388" s="125">
        <v>10477</v>
      </c>
      <c r="I388" s="125">
        <v>5563</v>
      </c>
      <c r="J388" s="125">
        <v>1642</v>
      </c>
      <c r="K388" s="125">
        <v>89349</v>
      </c>
      <c r="L388" s="121"/>
    </row>
    <row r="389" spans="1:12" x14ac:dyDescent="0.2">
      <c r="A389" s="19" t="s">
        <v>234</v>
      </c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</row>
    <row r="390" spans="1:12" x14ac:dyDescent="0.2">
      <c r="A390" s="26" t="s">
        <v>156</v>
      </c>
      <c r="B390" s="125">
        <v>6697</v>
      </c>
      <c r="C390" s="125">
        <v>12492</v>
      </c>
      <c r="D390" s="125">
        <v>15422</v>
      </c>
      <c r="E390" s="125">
        <v>29757</v>
      </c>
      <c r="F390" s="125">
        <v>28061</v>
      </c>
      <c r="G390" s="125">
        <v>23265</v>
      </c>
      <c r="H390" s="125">
        <v>12625</v>
      </c>
      <c r="I390" s="125">
        <v>3483</v>
      </c>
      <c r="J390" s="125">
        <v>759</v>
      </c>
      <c r="K390" s="125">
        <v>132561</v>
      </c>
      <c r="L390" s="121"/>
    </row>
    <row r="391" spans="1:12" x14ac:dyDescent="0.2">
      <c r="A391" s="26" t="s">
        <v>157</v>
      </c>
      <c r="B391" s="125">
        <v>6681</v>
      </c>
      <c r="C391" s="125">
        <v>12362</v>
      </c>
      <c r="D391" s="125">
        <v>15609</v>
      </c>
      <c r="E391" s="125">
        <v>29177</v>
      </c>
      <c r="F391" s="125">
        <v>27920</v>
      </c>
      <c r="G391" s="125">
        <v>23430</v>
      </c>
      <c r="H391" s="125">
        <v>13256</v>
      </c>
      <c r="I391" s="125">
        <v>3783</v>
      </c>
      <c r="J391" s="125">
        <v>817</v>
      </c>
      <c r="K391" s="125">
        <v>133035</v>
      </c>
      <c r="L391" s="121"/>
    </row>
    <row r="392" spans="1:12" x14ac:dyDescent="0.2">
      <c r="A392" s="26" t="s">
        <v>158</v>
      </c>
      <c r="B392" s="125">
        <v>6771</v>
      </c>
      <c r="C392" s="125">
        <v>13038</v>
      </c>
      <c r="D392" s="125">
        <v>16434</v>
      </c>
      <c r="E392" s="125">
        <v>30230</v>
      </c>
      <c r="F392" s="125">
        <v>28309</v>
      </c>
      <c r="G392" s="125">
        <v>24207</v>
      </c>
      <c r="H392" s="125">
        <v>14036</v>
      </c>
      <c r="I392" s="125">
        <v>4164</v>
      </c>
      <c r="J392" s="125">
        <v>888</v>
      </c>
      <c r="K392" s="125">
        <v>138077</v>
      </c>
      <c r="L392" s="121"/>
    </row>
    <row r="393" spans="1:12" x14ac:dyDescent="0.2">
      <c r="A393" s="26" t="s">
        <v>159</v>
      </c>
      <c r="B393" s="125">
        <v>6621</v>
      </c>
      <c r="C393" s="125">
        <v>14007</v>
      </c>
      <c r="D393" s="125">
        <v>17770</v>
      </c>
      <c r="E393" s="125">
        <v>32681</v>
      </c>
      <c r="F393" s="125">
        <v>29300</v>
      </c>
      <c r="G393" s="125">
        <v>25461</v>
      </c>
      <c r="H393" s="125">
        <v>15004</v>
      </c>
      <c r="I393" s="125">
        <v>4613</v>
      </c>
      <c r="J393" s="125">
        <v>947</v>
      </c>
      <c r="K393" s="125">
        <v>146404</v>
      </c>
      <c r="L393" s="121"/>
    </row>
    <row r="394" spans="1:12" x14ac:dyDescent="0.2">
      <c r="A394" s="26" t="s">
        <v>160</v>
      </c>
      <c r="B394" s="125">
        <v>6595</v>
      </c>
      <c r="C394" s="125">
        <v>14117</v>
      </c>
      <c r="D394" s="125">
        <v>18638</v>
      </c>
      <c r="E394" s="125">
        <v>33922</v>
      </c>
      <c r="F394" s="125">
        <v>29722</v>
      </c>
      <c r="G394" s="125">
        <v>25941</v>
      </c>
      <c r="H394" s="125">
        <v>15684</v>
      </c>
      <c r="I394" s="125">
        <v>5020</v>
      </c>
      <c r="J394" s="125">
        <v>1014</v>
      </c>
      <c r="K394" s="125">
        <v>150653</v>
      </c>
      <c r="L394" s="121"/>
    </row>
    <row r="395" spans="1:12" x14ac:dyDescent="0.2">
      <c r="A395" s="26" t="s">
        <v>161</v>
      </c>
      <c r="B395" s="125">
        <v>6438</v>
      </c>
      <c r="C395" s="125">
        <v>13730</v>
      </c>
      <c r="D395" s="125">
        <v>18917</v>
      </c>
      <c r="E395" s="125">
        <v>34892</v>
      </c>
      <c r="F395" s="125">
        <v>29765</v>
      </c>
      <c r="G395" s="125">
        <v>26092</v>
      </c>
      <c r="H395" s="125">
        <v>16099</v>
      </c>
      <c r="I395" s="125">
        <v>5259</v>
      </c>
      <c r="J395" s="125">
        <v>1076</v>
      </c>
      <c r="K395" s="125">
        <v>152268</v>
      </c>
      <c r="L395" s="121"/>
    </row>
    <row r="396" spans="1:12" x14ac:dyDescent="0.2">
      <c r="A396" s="26" t="s">
        <v>162</v>
      </c>
      <c r="B396" s="125">
        <v>6622</v>
      </c>
      <c r="C396" s="125">
        <v>13671</v>
      </c>
      <c r="D396" s="125">
        <v>18726</v>
      </c>
      <c r="E396" s="125">
        <v>36048</v>
      </c>
      <c r="F396" s="125">
        <v>30010</v>
      </c>
      <c r="G396" s="125">
        <v>26100</v>
      </c>
      <c r="H396" s="125">
        <v>16468</v>
      </c>
      <c r="I396" s="125">
        <v>5654</v>
      </c>
      <c r="J396" s="125">
        <v>1106</v>
      </c>
      <c r="K396" s="125">
        <v>154405</v>
      </c>
      <c r="L396" s="121"/>
    </row>
    <row r="397" spans="1:12" x14ac:dyDescent="0.2">
      <c r="A397" s="26" t="s">
        <v>163</v>
      </c>
      <c r="B397" s="125">
        <v>6880</v>
      </c>
      <c r="C397" s="125">
        <v>13755</v>
      </c>
      <c r="D397" s="125">
        <v>18638</v>
      </c>
      <c r="E397" s="125">
        <v>36884</v>
      </c>
      <c r="F397" s="125">
        <v>29943</v>
      </c>
      <c r="G397" s="125">
        <v>26176</v>
      </c>
      <c r="H397" s="125">
        <v>16733</v>
      </c>
      <c r="I397" s="125">
        <v>6152</v>
      </c>
      <c r="J397" s="125">
        <v>1183</v>
      </c>
      <c r="K397" s="125">
        <v>156344</v>
      </c>
      <c r="L397" s="121"/>
    </row>
    <row r="398" spans="1:12" x14ac:dyDescent="0.2">
      <c r="A398" s="136">
        <v>43281</v>
      </c>
      <c r="B398" s="125">
        <v>7015</v>
      </c>
      <c r="C398" s="125">
        <v>13614</v>
      </c>
      <c r="D398" s="125">
        <v>18229</v>
      </c>
      <c r="E398" s="125">
        <v>37263</v>
      </c>
      <c r="F398" s="125">
        <v>29924</v>
      </c>
      <c r="G398" s="125">
        <v>26103</v>
      </c>
      <c r="H398" s="125">
        <v>17127</v>
      </c>
      <c r="I398" s="125">
        <v>6698</v>
      </c>
      <c r="J398" s="125">
        <v>1323</v>
      </c>
      <c r="K398" s="125">
        <v>157296</v>
      </c>
      <c r="L398" s="121"/>
    </row>
    <row r="399" spans="1:12" x14ac:dyDescent="0.2">
      <c r="A399" s="26" t="s">
        <v>165</v>
      </c>
      <c r="B399" s="125">
        <v>6880</v>
      </c>
      <c r="C399" s="125">
        <v>13755</v>
      </c>
      <c r="D399" s="125">
        <v>18638</v>
      </c>
      <c r="E399" s="125">
        <v>36884</v>
      </c>
      <c r="F399" s="125">
        <v>29943</v>
      </c>
      <c r="G399" s="125">
        <v>26176</v>
      </c>
      <c r="H399" s="125">
        <v>16733</v>
      </c>
      <c r="I399" s="125">
        <v>6152</v>
      </c>
      <c r="J399" s="125">
        <v>1183</v>
      </c>
      <c r="K399" s="125">
        <v>156344</v>
      </c>
      <c r="L399" s="121"/>
    </row>
    <row r="400" spans="1:12" x14ac:dyDescent="0.2">
      <c r="A400" s="26" t="s">
        <v>166</v>
      </c>
      <c r="B400" s="125">
        <v>6866</v>
      </c>
      <c r="C400" s="125">
        <v>12863</v>
      </c>
      <c r="D400" s="125">
        <v>18003</v>
      </c>
      <c r="E400" s="125">
        <v>37625</v>
      </c>
      <c r="F400" s="125">
        <v>29156</v>
      </c>
      <c r="G400" s="125">
        <v>25930</v>
      </c>
      <c r="H400" s="125">
        <v>17758</v>
      </c>
      <c r="I400" s="125">
        <v>7851</v>
      </c>
      <c r="J400" s="125">
        <v>1779</v>
      </c>
      <c r="K400" s="125">
        <v>157831</v>
      </c>
      <c r="L400" s="121"/>
    </row>
    <row r="401" spans="1:12" x14ac:dyDescent="0.2">
      <c r="A401" s="26" t="s">
        <v>168</v>
      </c>
      <c r="B401" s="125">
        <v>6900</v>
      </c>
      <c r="C401" s="125">
        <v>12920</v>
      </c>
      <c r="D401" s="125">
        <v>17827</v>
      </c>
      <c r="E401" s="125">
        <v>38057</v>
      </c>
      <c r="F401" s="125">
        <v>28870</v>
      </c>
      <c r="G401" s="125">
        <v>26125</v>
      </c>
      <c r="H401" s="125">
        <v>18122</v>
      </c>
      <c r="I401" s="125">
        <v>8396</v>
      </c>
      <c r="J401" s="125">
        <v>1991</v>
      </c>
      <c r="K401" s="125">
        <v>159208</v>
      </c>
      <c r="L401" s="121"/>
    </row>
    <row r="402" spans="1:12" x14ac:dyDescent="0.2">
      <c r="A402" s="26" t="s">
        <v>195</v>
      </c>
      <c r="B402" s="125">
        <v>6846</v>
      </c>
      <c r="C402" s="125">
        <v>12621</v>
      </c>
      <c r="D402" s="125">
        <v>17557</v>
      </c>
      <c r="E402" s="125">
        <v>37928</v>
      </c>
      <c r="F402" s="125">
        <v>28692</v>
      </c>
      <c r="G402" s="125">
        <v>25945</v>
      </c>
      <c r="H402" s="125">
        <v>18373</v>
      </c>
      <c r="I402" s="125">
        <v>8833</v>
      </c>
      <c r="J402" s="125">
        <v>2268</v>
      </c>
      <c r="K402" s="125">
        <v>159063</v>
      </c>
      <c r="L402" s="121"/>
    </row>
    <row r="403" spans="1:12" x14ac:dyDescent="0.2">
      <c r="A403" s="26" t="s">
        <v>196</v>
      </c>
      <c r="B403" s="125">
        <v>8078</v>
      </c>
      <c r="C403" s="125">
        <v>13394</v>
      </c>
      <c r="D403" s="125">
        <v>18340</v>
      </c>
      <c r="E403" s="125">
        <v>37906</v>
      </c>
      <c r="F403" s="125">
        <v>28692</v>
      </c>
      <c r="G403" s="125">
        <v>25643</v>
      </c>
      <c r="H403" s="125">
        <v>18092</v>
      </c>
      <c r="I403" s="125">
        <v>8911</v>
      </c>
      <c r="J403" s="125">
        <v>2305</v>
      </c>
      <c r="K403" s="125">
        <v>161361</v>
      </c>
      <c r="L403" s="121"/>
    </row>
    <row r="404" spans="1:12" x14ac:dyDescent="0.2">
      <c r="A404" s="26" t="s">
        <v>210</v>
      </c>
      <c r="B404" s="125">
        <v>8329</v>
      </c>
      <c r="C404" s="125">
        <v>13932</v>
      </c>
      <c r="D404" s="125">
        <v>18262</v>
      </c>
      <c r="E404" s="125">
        <v>38074</v>
      </c>
      <c r="F404" s="125">
        <v>29062</v>
      </c>
      <c r="G404" s="125">
        <v>25452</v>
      </c>
      <c r="H404" s="125">
        <v>18333</v>
      </c>
      <c r="I404" s="125">
        <v>9371</v>
      </c>
      <c r="J404" s="125">
        <v>2601</v>
      </c>
      <c r="K404" s="125">
        <v>163416</v>
      </c>
      <c r="L404" s="121"/>
    </row>
    <row r="405" spans="1:12" x14ac:dyDescent="0.2">
      <c r="A405" s="30" t="s">
        <v>222</v>
      </c>
      <c r="B405" s="133">
        <v>8461</v>
      </c>
      <c r="C405" s="133">
        <v>14071</v>
      </c>
      <c r="D405" s="133">
        <v>18755</v>
      </c>
      <c r="E405" s="133">
        <v>39080</v>
      </c>
      <c r="F405" s="133">
        <v>29963</v>
      </c>
      <c r="G405" s="133">
        <v>25471</v>
      </c>
      <c r="H405" s="133">
        <v>18559</v>
      </c>
      <c r="I405" s="133">
        <v>9837</v>
      </c>
      <c r="J405" s="133">
        <v>2951</v>
      </c>
      <c r="K405" s="133">
        <v>167148</v>
      </c>
      <c r="L405" s="121"/>
    </row>
    <row r="406" spans="1:12" x14ac:dyDescent="0.2">
      <c r="A406" s="26" t="s">
        <v>307</v>
      </c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</row>
    <row r="407" spans="1:12" x14ac:dyDescent="0.2">
      <c r="A407" s="19" t="s">
        <v>240</v>
      </c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</row>
    <row r="410" spans="1:12" x14ac:dyDescent="0.2">
      <c r="A410" s="6" t="s">
        <v>261</v>
      </c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spans="1:12" x14ac:dyDescent="0.2">
      <c r="A411" s="206" t="s">
        <v>154</v>
      </c>
      <c r="B411" s="208" t="s">
        <v>224</v>
      </c>
      <c r="C411" s="208"/>
      <c r="D411" s="208"/>
      <c r="E411" s="208"/>
      <c r="F411" s="208"/>
      <c r="G411" s="208"/>
      <c r="H411" s="208"/>
      <c r="I411" s="208"/>
      <c r="J411" s="208"/>
      <c r="K411" s="208"/>
    </row>
    <row r="412" spans="1:12" x14ac:dyDescent="0.2">
      <c r="A412" s="209"/>
      <c r="B412" s="9" t="s">
        <v>235</v>
      </c>
      <c r="C412" s="9" t="s">
        <v>226</v>
      </c>
      <c r="D412" s="9" t="s">
        <v>227</v>
      </c>
      <c r="E412" s="9" t="s">
        <v>228</v>
      </c>
      <c r="F412" s="9" t="s">
        <v>229</v>
      </c>
      <c r="G412" s="9" t="s">
        <v>230</v>
      </c>
      <c r="H412" s="9" t="s">
        <v>231</v>
      </c>
      <c r="I412" s="9" t="s">
        <v>232</v>
      </c>
      <c r="J412" s="9" t="s">
        <v>233</v>
      </c>
      <c r="K412" s="9" t="s">
        <v>7</v>
      </c>
    </row>
    <row r="413" spans="1:12" x14ac:dyDescent="0.2">
      <c r="A413" s="123" t="s">
        <v>155</v>
      </c>
      <c r="B413" s="8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5"/>
    </row>
    <row r="414" spans="1:12" x14ac:dyDescent="0.2">
      <c r="A414" s="26" t="s">
        <v>156</v>
      </c>
      <c r="B414" s="125">
        <v>8543</v>
      </c>
      <c r="C414" s="125">
        <v>13928</v>
      </c>
      <c r="D414" s="125">
        <v>15520</v>
      </c>
      <c r="E414" s="125">
        <v>28977</v>
      </c>
      <c r="F414" s="125">
        <v>26512</v>
      </c>
      <c r="G414" s="125">
        <v>23188</v>
      </c>
      <c r="H414" s="125">
        <v>14971</v>
      </c>
      <c r="I414" s="125">
        <v>6305</v>
      </c>
      <c r="J414" s="125">
        <v>2780</v>
      </c>
      <c r="K414" s="125">
        <v>140724</v>
      </c>
      <c r="L414" s="121"/>
    </row>
    <row r="415" spans="1:12" x14ac:dyDescent="0.2">
      <c r="A415" s="26" t="s">
        <v>157</v>
      </c>
      <c r="B415" s="125">
        <v>8706</v>
      </c>
      <c r="C415" s="125">
        <v>14072</v>
      </c>
      <c r="D415" s="125">
        <v>15763</v>
      </c>
      <c r="E415" s="125">
        <v>29561</v>
      </c>
      <c r="F415" s="125">
        <v>26972</v>
      </c>
      <c r="G415" s="125">
        <v>23532</v>
      </c>
      <c r="H415" s="125">
        <v>15788</v>
      </c>
      <c r="I415" s="125">
        <v>6636</v>
      </c>
      <c r="J415" s="125">
        <v>3048</v>
      </c>
      <c r="K415" s="125">
        <v>144078</v>
      </c>
      <c r="L415" s="121"/>
    </row>
    <row r="416" spans="1:12" x14ac:dyDescent="0.2">
      <c r="A416" s="26" t="s">
        <v>158</v>
      </c>
      <c r="B416" s="125">
        <v>8581</v>
      </c>
      <c r="C416" s="125">
        <v>14401</v>
      </c>
      <c r="D416" s="125">
        <v>16193</v>
      </c>
      <c r="E416" s="125">
        <v>30372</v>
      </c>
      <c r="F416" s="125">
        <v>27560</v>
      </c>
      <c r="G416" s="125">
        <v>23826</v>
      </c>
      <c r="H416" s="125">
        <v>16582</v>
      </c>
      <c r="I416" s="125">
        <v>7125</v>
      </c>
      <c r="J416" s="125">
        <v>3307</v>
      </c>
      <c r="K416" s="125">
        <v>147947</v>
      </c>
      <c r="L416" s="121"/>
    </row>
    <row r="417" spans="1:12" x14ac:dyDescent="0.2">
      <c r="A417" s="26" t="s">
        <v>159</v>
      </c>
      <c r="B417" s="125">
        <v>8336</v>
      </c>
      <c r="C417" s="125">
        <v>14421</v>
      </c>
      <c r="D417" s="125">
        <v>16489</v>
      </c>
      <c r="E417" s="125">
        <v>31080</v>
      </c>
      <c r="F417" s="125">
        <v>28214</v>
      </c>
      <c r="G417" s="125">
        <v>24003</v>
      </c>
      <c r="H417" s="125">
        <v>17301</v>
      </c>
      <c r="I417" s="125">
        <v>7562</v>
      </c>
      <c r="J417" s="125">
        <v>3576</v>
      </c>
      <c r="K417" s="125">
        <v>150982</v>
      </c>
      <c r="L417" s="121"/>
    </row>
    <row r="418" spans="1:12" x14ac:dyDescent="0.2">
      <c r="A418" s="26" t="s">
        <v>160</v>
      </c>
      <c r="B418" s="125">
        <v>8199</v>
      </c>
      <c r="C418" s="125">
        <v>14419</v>
      </c>
      <c r="D418" s="125">
        <v>16448</v>
      </c>
      <c r="E418" s="125">
        <v>31843</v>
      </c>
      <c r="F418" s="125">
        <v>29544</v>
      </c>
      <c r="G418" s="125">
        <v>24387</v>
      </c>
      <c r="H418" s="125">
        <v>17878</v>
      </c>
      <c r="I418" s="125">
        <v>8082</v>
      </c>
      <c r="J418" s="125">
        <v>3903</v>
      </c>
      <c r="K418" s="125">
        <v>154703</v>
      </c>
      <c r="L418" s="121"/>
    </row>
    <row r="419" spans="1:12" x14ac:dyDescent="0.2">
      <c r="A419" s="26" t="s">
        <v>161</v>
      </c>
      <c r="B419" s="125">
        <v>8290</v>
      </c>
      <c r="C419" s="125">
        <v>14442</v>
      </c>
      <c r="D419" s="125">
        <v>16454</v>
      </c>
      <c r="E419" s="125">
        <v>31843</v>
      </c>
      <c r="F419" s="125">
        <v>28544</v>
      </c>
      <c r="G419" s="125">
        <v>24384</v>
      </c>
      <c r="H419" s="125">
        <v>17867</v>
      </c>
      <c r="I419" s="125">
        <v>8078</v>
      </c>
      <c r="J419" s="125">
        <v>3903</v>
      </c>
      <c r="K419" s="125">
        <v>153805</v>
      </c>
      <c r="L419" s="121"/>
    </row>
    <row r="420" spans="1:12" x14ac:dyDescent="0.2">
      <c r="A420" s="26" t="s">
        <v>162</v>
      </c>
      <c r="B420" s="125">
        <v>8575</v>
      </c>
      <c r="C420" s="125">
        <v>13576</v>
      </c>
      <c r="D420" s="125">
        <v>16365</v>
      </c>
      <c r="E420" s="125">
        <v>34868</v>
      </c>
      <c r="F420" s="125">
        <v>29879</v>
      </c>
      <c r="G420" s="125">
        <v>25313</v>
      </c>
      <c r="H420" s="125">
        <v>19455</v>
      </c>
      <c r="I420" s="125">
        <v>10517</v>
      </c>
      <c r="J420" s="125">
        <v>3868</v>
      </c>
      <c r="K420" s="125">
        <v>162416</v>
      </c>
      <c r="L420" s="121"/>
    </row>
    <row r="421" spans="1:12" x14ac:dyDescent="0.2">
      <c r="A421" s="26" t="s">
        <v>163</v>
      </c>
      <c r="B421" s="125">
        <v>8539</v>
      </c>
      <c r="C421" s="125">
        <v>14033</v>
      </c>
      <c r="D421" s="125">
        <v>16682</v>
      </c>
      <c r="E421" s="125">
        <v>34616</v>
      </c>
      <c r="F421" s="125">
        <v>29410</v>
      </c>
      <c r="G421" s="125">
        <v>24852</v>
      </c>
      <c r="H421" s="125">
        <v>18930</v>
      </c>
      <c r="I421" s="125">
        <v>10211</v>
      </c>
      <c r="J421" s="125">
        <v>3406</v>
      </c>
      <c r="K421" s="125">
        <v>160679</v>
      </c>
      <c r="L421" s="121"/>
    </row>
    <row r="422" spans="1:12" x14ac:dyDescent="0.2">
      <c r="A422" s="26" t="s">
        <v>164</v>
      </c>
      <c r="B422" s="125">
        <v>8310</v>
      </c>
      <c r="C422" s="125">
        <v>13982</v>
      </c>
      <c r="D422" s="125">
        <v>16995</v>
      </c>
      <c r="E422" s="125">
        <v>35836</v>
      </c>
      <c r="F422" s="125">
        <v>29972</v>
      </c>
      <c r="G422" s="125">
        <v>24991</v>
      </c>
      <c r="H422" s="125">
        <v>19191</v>
      </c>
      <c r="I422" s="125">
        <v>10937</v>
      </c>
      <c r="J422" s="125">
        <v>3591</v>
      </c>
      <c r="K422" s="125">
        <v>163805</v>
      </c>
      <c r="L422" s="121"/>
    </row>
    <row r="423" spans="1:12" x14ac:dyDescent="0.2">
      <c r="A423" s="26" t="s">
        <v>165</v>
      </c>
      <c r="B423" s="125">
        <v>8155</v>
      </c>
      <c r="C423" s="125">
        <v>13431</v>
      </c>
      <c r="D423" s="125">
        <v>16522</v>
      </c>
      <c r="E423" s="125">
        <v>35837</v>
      </c>
      <c r="F423" s="125">
        <v>29920</v>
      </c>
      <c r="G423" s="125">
        <v>24765</v>
      </c>
      <c r="H423" s="125">
        <v>19342</v>
      </c>
      <c r="I423" s="125">
        <v>11577</v>
      </c>
      <c r="J423" s="125">
        <v>3794</v>
      </c>
      <c r="K423" s="125">
        <v>163343</v>
      </c>
      <c r="L423" s="121"/>
    </row>
    <row r="424" spans="1:12" x14ac:dyDescent="0.2">
      <c r="A424" s="26" t="s">
        <v>166</v>
      </c>
      <c r="B424" s="125">
        <v>7247</v>
      </c>
      <c r="C424" s="125">
        <v>12751</v>
      </c>
      <c r="D424" s="125">
        <v>15851</v>
      </c>
      <c r="E424" s="125">
        <v>35454</v>
      </c>
      <c r="F424" s="125">
        <v>29926</v>
      </c>
      <c r="G424" s="125">
        <v>24704</v>
      </c>
      <c r="H424" s="125">
        <v>19225</v>
      </c>
      <c r="I424" s="125">
        <v>12278</v>
      </c>
      <c r="J424" s="125">
        <v>4043</v>
      </c>
      <c r="K424" s="125">
        <v>161479</v>
      </c>
      <c r="L424" s="121"/>
    </row>
    <row r="425" spans="1:12" x14ac:dyDescent="0.2">
      <c r="A425" s="26" t="s">
        <v>168</v>
      </c>
      <c r="B425" s="125">
        <v>5716</v>
      </c>
      <c r="C425" s="125">
        <v>12165</v>
      </c>
      <c r="D425" s="125">
        <v>15705</v>
      </c>
      <c r="E425" s="125">
        <v>35571</v>
      </c>
      <c r="F425" s="125">
        <v>30277</v>
      </c>
      <c r="G425" s="125">
        <v>25009</v>
      </c>
      <c r="H425" s="125">
        <v>19310</v>
      </c>
      <c r="I425" s="125">
        <v>13038</v>
      </c>
      <c r="J425" s="125">
        <v>4317</v>
      </c>
      <c r="K425" s="125">
        <v>161108</v>
      </c>
      <c r="L425" s="121"/>
    </row>
    <row r="426" spans="1:12" x14ac:dyDescent="0.2">
      <c r="A426" s="26" t="s">
        <v>195</v>
      </c>
      <c r="B426" s="125">
        <v>8504</v>
      </c>
      <c r="C426" s="125">
        <v>12423</v>
      </c>
      <c r="D426" s="125">
        <v>16475</v>
      </c>
      <c r="E426" s="125">
        <v>36167</v>
      </c>
      <c r="F426" s="125">
        <v>30686</v>
      </c>
      <c r="G426" s="125">
        <v>25139</v>
      </c>
      <c r="H426" s="125">
        <v>19318</v>
      </c>
      <c r="I426" s="125">
        <v>13573</v>
      </c>
      <c r="J426" s="125">
        <v>4794</v>
      </c>
      <c r="K426" s="125">
        <v>167079</v>
      </c>
      <c r="L426" s="121"/>
    </row>
    <row r="427" spans="1:12" x14ac:dyDescent="0.2">
      <c r="A427" s="26" t="s">
        <v>196</v>
      </c>
      <c r="B427" s="125">
        <v>8931</v>
      </c>
      <c r="C427" s="125">
        <v>12072</v>
      </c>
      <c r="D427" s="125">
        <v>16556</v>
      </c>
      <c r="E427" s="125">
        <v>36502</v>
      </c>
      <c r="F427" s="125">
        <v>31207</v>
      </c>
      <c r="G427" s="125">
        <v>25645</v>
      </c>
      <c r="H427" s="125">
        <v>19528</v>
      </c>
      <c r="I427" s="125">
        <v>14257</v>
      </c>
      <c r="J427" s="125">
        <v>5168</v>
      </c>
      <c r="K427" s="125">
        <v>169866</v>
      </c>
      <c r="L427" s="121"/>
    </row>
    <row r="428" spans="1:12" x14ac:dyDescent="0.2">
      <c r="A428" s="26" t="s">
        <v>210</v>
      </c>
      <c r="B428" s="125">
        <v>9199</v>
      </c>
      <c r="C428" s="125">
        <v>11814</v>
      </c>
      <c r="D428" s="125">
        <v>16273</v>
      </c>
      <c r="E428" s="125">
        <v>36804</v>
      </c>
      <c r="F428" s="125">
        <v>32081</v>
      </c>
      <c r="G428" s="125">
        <v>25865</v>
      </c>
      <c r="H428" s="125">
        <v>19934</v>
      </c>
      <c r="I428" s="125">
        <v>14800</v>
      </c>
      <c r="J428" s="125">
        <v>5680</v>
      </c>
      <c r="K428" s="125">
        <v>172450</v>
      </c>
      <c r="L428" s="121"/>
    </row>
    <row r="429" spans="1:12" x14ac:dyDescent="0.2">
      <c r="A429" s="26" t="s">
        <v>222</v>
      </c>
      <c r="B429" s="125">
        <v>9533</v>
      </c>
      <c r="C429" s="125">
        <v>11810</v>
      </c>
      <c r="D429" s="125">
        <v>15959</v>
      </c>
      <c r="E429" s="125">
        <v>37118</v>
      </c>
      <c r="F429" s="125">
        <v>33041</v>
      </c>
      <c r="G429" s="125">
        <v>26312</v>
      </c>
      <c r="H429" s="125">
        <v>20221</v>
      </c>
      <c r="I429" s="125">
        <v>15184</v>
      </c>
      <c r="J429" s="125">
        <v>6210</v>
      </c>
      <c r="K429" s="125">
        <v>175388</v>
      </c>
      <c r="L429" s="121"/>
    </row>
    <row r="430" spans="1:12" x14ac:dyDescent="0.2">
      <c r="A430" s="19" t="s">
        <v>167</v>
      </c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</row>
    <row r="431" spans="1:12" x14ac:dyDescent="0.2">
      <c r="A431" s="26" t="s">
        <v>156</v>
      </c>
      <c r="B431" s="125">
        <v>9186</v>
      </c>
      <c r="C431" s="125">
        <v>14594</v>
      </c>
      <c r="D431" s="125">
        <v>15948</v>
      </c>
      <c r="E431" s="125">
        <v>29876</v>
      </c>
      <c r="F431" s="125">
        <v>26886</v>
      </c>
      <c r="G431" s="125">
        <v>23056</v>
      </c>
      <c r="H431" s="125">
        <v>16164</v>
      </c>
      <c r="I431" s="125">
        <v>7203</v>
      </c>
      <c r="J431" s="125">
        <v>3497</v>
      </c>
      <c r="K431" s="125">
        <v>146410</v>
      </c>
      <c r="L431" s="121"/>
    </row>
    <row r="432" spans="1:12" x14ac:dyDescent="0.2">
      <c r="A432" s="26" t="s">
        <v>157</v>
      </c>
      <c r="B432" s="125">
        <v>9022</v>
      </c>
      <c r="C432" s="125">
        <v>15067</v>
      </c>
      <c r="D432" s="125">
        <v>16457</v>
      </c>
      <c r="E432" s="125">
        <v>30452</v>
      </c>
      <c r="F432" s="125">
        <v>27571</v>
      </c>
      <c r="G432" s="125">
        <v>23405</v>
      </c>
      <c r="H432" s="125">
        <v>16831</v>
      </c>
      <c r="I432" s="125">
        <v>7442</v>
      </c>
      <c r="J432" s="125">
        <v>3849</v>
      </c>
      <c r="K432" s="125">
        <v>150096</v>
      </c>
      <c r="L432" s="121"/>
    </row>
    <row r="433" spans="1:12" x14ac:dyDescent="0.2">
      <c r="A433" s="26" t="s">
        <v>158</v>
      </c>
      <c r="B433" s="125">
        <v>8887</v>
      </c>
      <c r="C433" s="125">
        <v>15245</v>
      </c>
      <c r="D433" s="125">
        <v>16913</v>
      </c>
      <c r="E433" s="125">
        <v>31435</v>
      </c>
      <c r="F433" s="125">
        <v>28147</v>
      </c>
      <c r="G433" s="125">
        <v>23842</v>
      </c>
      <c r="H433" s="125">
        <v>17383</v>
      </c>
      <c r="I433" s="125">
        <v>7938</v>
      </c>
      <c r="J433" s="125">
        <v>4104</v>
      </c>
      <c r="K433" s="125">
        <v>153894</v>
      </c>
      <c r="L433" s="121"/>
    </row>
    <row r="434" spans="1:12" x14ac:dyDescent="0.2">
      <c r="A434" s="26" t="s">
        <v>159</v>
      </c>
      <c r="B434" s="125">
        <v>8555</v>
      </c>
      <c r="C434" s="125">
        <v>15397</v>
      </c>
      <c r="D434" s="125">
        <v>17050</v>
      </c>
      <c r="E434" s="125">
        <v>32390</v>
      </c>
      <c r="F434" s="125">
        <v>28711</v>
      </c>
      <c r="G434" s="125">
        <v>24059</v>
      </c>
      <c r="H434" s="125">
        <v>17996</v>
      </c>
      <c r="I434" s="125">
        <v>8294</v>
      </c>
      <c r="J434" s="125">
        <v>4400</v>
      </c>
      <c r="K434" s="125">
        <v>156852</v>
      </c>
      <c r="L434" s="121"/>
    </row>
    <row r="435" spans="1:12" x14ac:dyDescent="0.2">
      <c r="A435" s="26" t="s">
        <v>160</v>
      </c>
      <c r="B435" s="125">
        <v>8452</v>
      </c>
      <c r="C435" s="125">
        <v>15182</v>
      </c>
      <c r="D435" s="125">
        <v>17050</v>
      </c>
      <c r="E435" s="125">
        <v>33306</v>
      </c>
      <c r="F435" s="125">
        <v>29204</v>
      </c>
      <c r="G435" s="125">
        <v>24416</v>
      </c>
      <c r="H435" s="125">
        <v>18459</v>
      </c>
      <c r="I435" s="125">
        <v>8749</v>
      </c>
      <c r="J435" s="125">
        <v>4723</v>
      </c>
      <c r="K435" s="125">
        <v>159541</v>
      </c>
      <c r="L435" s="121"/>
    </row>
    <row r="436" spans="1:12" x14ac:dyDescent="0.2">
      <c r="A436" s="26" t="s">
        <v>161</v>
      </c>
      <c r="B436" s="125">
        <v>8515</v>
      </c>
      <c r="C436" s="125">
        <v>15049</v>
      </c>
      <c r="D436" s="125">
        <v>16864</v>
      </c>
      <c r="E436" s="125">
        <v>33045</v>
      </c>
      <c r="F436" s="125">
        <v>29036</v>
      </c>
      <c r="G436" s="125">
        <v>24302</v>
      </c>
      <c r="H436" s="125">
        <v>18360</v>
      </c>
      <c r="I436" s="125">
        <v>8623</v>
      </c>
      <c r="J436" s="125">
        <v>4668</v>
      </c>
      <c r="K436" s="125">
        <v>158462</v>
      </c>
      <c r="L436" s="121"/>
    </row>
    <row r="437" spans="1:12" x14ac:dyDescent="0.2">
      <c r="A437" s="26" t="s">
        <v>162</v>
      </c>
      <c r="B437" s="125">
        <v>8646</v>
      </c>
      <c r="C437" s="125">
        <v>14176</v>
      </c>
      <c r="D437" s="125">
        <v>16798</v>
      </c>
      <c r="E437" s="125">
        <v>35636</v>
      </c>
      <c r="F437" s="125">
        <v>30792</v>
      </c>
      <c r="G437" s="125">
        <v>25262</v>
      </c>
      <c r="H437" s="125">
        <v>19353</v>
      </c>
      <c r="I437" s="125">
        <v>10834</v>
      </c>
      <c r="J437" s="125">
        <v>4462</v>
      </c>
      <c r="K437" s="125">
        <v>165959</v>
      </c>
      <c r="L437" s="121"/>
    </row>
    <row r="438" spans="1:12" x14ac:dyDescent="0.2">
      <c r="A438" s="26" t="s">
        <v>163</v>
      </c>
      <c r="B438" s="125">
        <v>8422</v>
      </c>
      <c r="C438" s="125">
        <v>14520</v>
      </c>
      <c r="D438" s="125">
        <v>16987</v>
      </c>
      <c r="E438" s="125">
        <v>35443</v>
      </c>
      <c r="F438" s="125">
        <v>30299</v>
      </c>
      <c r="G438" s="125">
        <v>24750</v>
      </c>
      <c r="H438" s="125">
        <v>18829</v>
      </c>
      <c r="I438" s="125">
        <v>10474</v>
      </c>
      <c r="J438" s="125">
        <v>4013</v>
      </c>
      <c r="K438" s="125">
        <v>163737</v>
      </c>
      <c r="L438" s="121"/>
    </row>
    <row r="439" spans="1:12" x14ac:dyDescent="0.2">
      <c r="A439" s="26" t="s">
        <v>164</v>
      </c>
      <c r="B439" s="125">
        <v>8305</v>
      </c>
      <c r="C439" s="125">
        <v>14484</v>
      </c>
      <c r="D439" s="125">
        <v>17402</v>
      </c>
      <c r="E439" s="125">
        <v>36441</v>
      </c>
      <c r="F439" s="125">
        <v>30755</v>
      </c>
      <c r="G439" s="125">
        <v>25077</v>
      </c>
      <c r="H439" s="125">
        <v>18987</v>
      </c>
      <c r="I439" s="125">
        <v>11099</v>
      </c>
      <c r="J439" s="125">
        <v>4155</v>
      </c>
      <c r="K439" s="125">
        <v>166705</v>
      </c>
      <c r="L439" s="121"/>
    </row>
    <row r="440" spans="1:12" x14ac:dyDescent="0.2">
      <c r="A440" s="26" t="s">
        <v>165</v>
      </c>
      <c r="B440" s="125">
        <v>8306</v>
      </c>
      <c r="C440" s="125">
        <v>14036</v>
      </c>
      <c r="D440" s="125">
        <v>16973</v>
      </c>
      <c r="E440" s="125">
        <v>36283</v>
      </c>
      <c r="F440" s="125">
        <v>30900</v>
      </c>
      <c r="G440" s="125">
        <v>24928</v>
      </c>
      <c r="H440" s="125">
        <v>18797</v>
      </c>
      <c r="I440" s="125">
        <v>11695</v>
      </c>
      <c r="J440" s="125">
        <v>4271</v>
      </c>
      <c r="K440" s="125">
        <v>166189</v>
      </c>
      <c r="L440" s="121"/>
    </row>
    <row r="441" spans="1:12" x14ac:dyDescent="0.2">
      <c r="A441" s="26" t="s">
        <v>166</v>
      </c>
      <c r="B441" s="125">
        <v>7535</v>
      </c>
      <c r="C441" s="125">
        <v>13307</v>
      </c>
      <c r="D441" s="125">
        <v>16829</v>
      </c>
      <c r="E441" s="125">
        <v>36216</v>
      </c>
      <c r="F441" s="125">
        <v>30724</v>
      </c>
      <c r="G441" s="125">
        <v>24851</v>
      </c>
      <c r="H441" s="125">
        <v>18643</v>
      </c>
      <c r="I441" s="125">
        <v>12239</v>
      </c>
      <c r="J441" s="125">
        <v>4531</v>
      </c>
      <c r="K441" s="125">
        <v>164875</v>
      </c>
      <c r="L441" s="121"/>
    </row>
    <row r="442" spans="1:12" x14ac:dyDescent="0.2">
      <c r="A442" s="26" t="s">
        <v>168</v>
      </c>
      <c r="B442" s="125">
        <v>5907</v>
      </c>
      <c r="C442" s="125">
        <v>12758</v>
      </c>
      <c r="D442" s="125">
        <v>17055</v>
      </c>
      <c r="E442" s="125">
        <v>36723</v>
      </c>
      <c r="F442" s="125">
        <v>31083</v>
      </c>
      <c r="G442" s="125">
        <v>25259</v>
      </c>
      <c r="H442" s="125">
        <v>18835</v>
      </c>
      <c r="I442" s="125">
        <v>12773</v>
      </c>
      <c r="J442" s="125">
        <v>4738</v>
      </c>
      <c r="K442" s="125">
        <v>165131</v>
      </c>
      <c r="L442" s="121"/>
    </row>
    <row r="443" spans="1:12" x14ac:dyDescent="0.2">
      <c r="A443" s="26" t="s">
        <v>195</v>
      </c>
      <c r="B443" s="125">
        <v>8805</v>
      </c>
      <c r="C443" s="125">
        <v>12949</v>
      </c>
      <c r="D443" s="125">
        <v>17309</v>
      </c>
      <c r="E443" s="125">
        <v>36683</v>
      </c>
      <c r="F443" s="125">
        <v>31195</v>
      </c>
      <c r="G443" s="125">
        <v>25080</v>
      </c>
      <c r="H443" s="125">
        <v>18027</v>
      </c>
      <c r="I443" s="125">
        <v>12360</v>
      </c>
      <c r="J443" s="125">
        <v>5096</v>
      </c>
      <c r="K443" s="125">
        <v>167504</v>
      </c>
      <c r="L443" s="121"/>
    </row>
    <row r="444" spans="1:12" x14ac:dyDescent="0.2">
      <c r="A444" s="26" t="s">
        <v>196</v>
      </c>
      <c r="B444" s="125">
        <v>9404</v>
      </c>
      <c r="C444" s="125">
        <v>13024</v>
      </c>
      <c r="D444" s="125">
        <v>17227</v>
      </c>
      <c r="E444" s="125">
        <v>37092</v>
      </c>
      <c r="F444" s="125">
        <v>32021</v>
      </c>
      <c r="G444" s="125">
        <v>25637</v>
      </c>
      <c r="H444" s="125">
        <v>18318</v>
      </c>
      <c r="I444" s="125">
        <v>13104</v>
      </c>
      <c r="J444" s="125">
        <v>5346</v>
      </c>
      <c r="K444" s="125">
        <v>171173</v>
      </c>
      <c r="L444" s="121"/>
    </row>
    <row r="445" spans="1:12" x14ac:dyDescent="0.2">
      <c r="A445" s="26" t="s">
        <v>210</v>
      </c>
      <c r="B445" s="125">
        <v>9793</v>
      </c>
      <c r="C445" s="125">
        <v>12890</v>
      </c>
      <c r="D445" s="125">
        <v>16737</v>
      </c>
      <c r="E445" s="125">
        <v>37503</v>
      </c>
      <c r="F445" s="125">
        <v>32928</v>
      </c>
      <c r="G445" s="125">
        <v>26216</v>
      </c>
      <c r="H445" s="125">
        <v>19202</v>
      </c>
      <c r="I445" s="125">
        <v>13981</v>
      </c>
      <c r="J445" s="125">
        <v>5756</v>
      </c>
      <c r="K445" s="125">
        <v>175006</v>
      </c>
      <c r="L445" s="121"/>
    </row>
    <row r="446" spans="1:12" x14ac:dyDescent="0.2">
      <c r="A446" s="26" t="s">
        <v>222</v>
      </c>
      <c r="B446" s="125">
        <v>10294</v>
      </c>
      <c r="C446" s="125">
        <v>12809</v>
      </c>
      <c r="D446" s="125">
        <v>16189</v>
      </c>
      <c r="E446" s="125">
        <v>37878</v>
      </c>
      <c r="F446" s="125">
        <v>33708</v>
      </c>
      <c r="G446" s="125">
        <v>26569</v>
      </c>
      <c r="H446" s="125">
        <v>19577</v>
      </c>
      <c r="I446" s="125">
        <v>14215</v>
      </c>
      <c r="J446" s="125">
        <v>6217</v>
      </c>
      <c r="K446" s="125">
        <v>177456</v>
      </c>
      <c r="L446" s="121"/>
    </row>
    <row r="447" spans="1:12" x14ac:dyDescent="0.2">
      <c r="A447" s="19" t="s">
        <v>234</v>
      </c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</row>
    <row r="448" spans="1:12" x14ac:dyDescent="0.2">
      <c r="A448" s="26" t="s">
        <v>156</v>
      </c>
      <c r="B448" s="125">
        <v>17729</v>
      </c>
      <c r="C448" s="125">
        <v>28522</v>
      </c>
      <c r="D448" s="125">
        <v>31468</v>
      </c>
      <c r="E448" s="125">
        <v>58853</v>
      </c>
      <c r="F448" s="125">
        <v>53398</v>
      </c>
      <c r="G448" s="125">
        <v>46244</v>
      </c>
      <c r="H448" s="125">
        <v>31135</v>
      </c>
      <c r="I448" s="125">
        <v>13508</v>
      </c>
      <c r="J448" s="125">
        <v>6277</v>
      </c>
      <c r="K448" s="125">
        <v>287134</v>
      </c>
      <c r="L448" s="121"/>
    </row>
    <row r="449" spans="1:12" x14ac:dyDescent="0.2">
      <c r="A449" s="26" t="s">
        <v>157</v>
      </c>
      <c r="B449" s="125">
        <v>17728</v>
      </c>
      <c r="C449" s="125">
        <v>29139</v>
      </c>
      <c r="D449" s="125">
        <v>32220</v>
      </c>
      <c r="E449" s="125">
        <v>60013</v>
      </c>
      <c r="F449" s="125">
        <v>54543</v>
      </c>
      <c r="G449" s="125">
        <v>46937</v>
      </c>
      <c r="H449" s="125">
        <v>32619</v>
      </c>
      <c r="I449" s="125">
        <v>14078</v>
      </c>
      <c r="J449" s="125">
        <v>6897</v>
      </c>
      <c r="K449" s="125">
        <v>294174</v>
      </c>
      <c r="L449" s="121"/>
    </row>
    <row r="450" spans="1:12" x14ac:dyDescent="0.2">
      <c r="A450" s="26" t="s">
        <v>158</v>
      </c>
      <c r="B450" s="125">
        <v>17468</v>
      </c>
      <c r="C450" s="125">
        <v>29646</v>
      </c>
      <c r="D450" s="125">
        <v>33106</v>
      </c>
      <c r="E450" s="125">
        <v>61807</v>
      </c>
      <c r="F450" s="125">
        <v>55707</v>
      </c>
      <c r="G450" s="125">
        <v>47668</v>
      </c>
      <c r="H450" s="125">
        <v>33965</v>
      </c>
      <c r="I450" s="125">
        <v>15063</v>
      </c>
      <c r="J450" s="125">
        <v>7411</v>
      </c>
      <c r="K450" s="125">
        <v>301841</v>
      </c>
      <c r="L450" s="121"/>
    </row>
    <row r="451" spans="1:12" x14ac:dyDescent="0.2">
      <c r="A451" s="26" t="s">
        <v>159</v>
      </c>
      <c r="B451" s="125">
        <v>16891</v>
      </c>
      <c r="C451" s="125">
        <v>29818</v>
      </c>
      <c r="D451" s="125">
        <v>33539</v>
      </c>
      <c r="E451" s="125">
        <v>63470</v>
      </c>
      <c r="F451" s="125">
        <v>56925</v>
      </c>
      <c r="G451" s="125">
        <v>48062</v>
      </c>
      <c r="H451" s="125">
        <v>35297</v>
      </c>
      <c r="I451" s="125">
        <v>15856</v>
      </c>
      <c r="J451" s="125">
        <v>7976</v>
      </c>
      <c r="K451" s="125">
        <v>307834</v>
      </c>
      <c r="L451" s="121"/>
    </row>
    <row r="452" spans="1:12" x14ac:dyDescent="0.2">
      <c r="A452" s="26" t="s">
        <v>160</v>
      </c>
      <c r="B452" s="125">
        <v>16651</v>
      </c>
      <c r="C452" s="125">
        <v>29601</v>
      </c>
      <c r="D452" s="125">
        <v>33498</v>
      </c>
      <c r="E452" s="125">
        <v>65149</v>
      </c>
      <c r="F452" s="125">
        <v>58748</v>
      </c>
      <c r="G452" s="125">
        <v>48803</v>
      </c>
      <c r="H452" s="125">
        <v>36337</v>
      </c>
      <c r="I452" s="125">
        <v>16831</v>
      </c>
      <c r="J452" s="125">
        <v>8626</v>
      </c>
      <c r="K452" s="125">
        <v>314244</v>
      </c>
      <c r="L452" s="121"/>
    </row>
    <row r="453" spans="1:12" x14ac:dyDescent="0.2">
      <c r="A453" s="26" t="s">
        <v>161</v>
      </c>
      <c r="B453" s="125">
        <v>16805</v>
      </c>
      <c r="C453" s="125">
        <v>29491</v>
      </c>
      <c r="D453" s="125">
        <v>33318</v>
      </c>
      <c r="E453" s="125">
        <v>64888</v>
      </c>
      <c r="F453" s="125">
        <v>57580</v>
      </c>
      <c r="G453" s="125">
        <v>48686</v>
      </c>
      <c r="H453" s="125">
        <v>36227</v>
      </c>
      <c r="I453" s="125">
        <v>16701</v>
      </c>
      <c r="J453" s="125">
        <v>8571</v>
      </c>
      <c r="K453" s="125">
        <v>312267</v>
      </c>
      <c r="L453" s="121"/>
    </row>
    <row r="454" spans="1:12" x14ac:dyDescent="0.2">
      <c r="A454" s="26" t="s">
        <v>162</v>
      </c>
      <c r="B454" s="125">
        <v>17221</v>
      </c>
      <c r="C454" s="125">
        <v>27752</v>
      </c>
      <c r="D454" s="125">
        <v>33163</v>
      </c>
      <c r="E454" s="125">
        <v>70505</v>
      </c>
      <c r="F454" s="125">
        <v>60671</v>
      </c>
      <c r="G454" s="125">
        <v>50576</v>
      </c>
      <c r="H454" s="125">
        <v>38808</v>
      </c>
      <c r="I454" s="125">
        <v>21351</v>
      </c>
      <c r="J454" s="125">
        <v>8330</v>
      </c>
      <c r="K454" s="125">
        <v>328377</v>
      </c>
      <c r="L454" s="121"/>
    </row>
    <row r="455" spans="1:12" x14ac:dyDescent="0.2">
      <c r="A455" s="26" t="s">
        <v>163</v>
      </c>
      <c r="B455" s="125">
        <v>16967</v>
      </c>
      <c r="C455" s="125">
        <v>28556</v>
      </c>
      <c r="D455" s="125">
        <v>33674</v>
      </c>
      <c r="E455" s="125">
        <v>70064</v>
      </c>
      <c r="F455" s="125">
        <v>59711</v>
      </c>
      <c r="G455" s="125">
        <v>49603</v>
      </c>
      <c r="H455" s="125">
        <v>37759</v>
      </c>
      <c r="I455" s="125">
        <v>20686</v>
      </c>
      <c r="J455" s="125">
        <v>7419</v>
      </c>
      <c r="K455" s="125">
        <v>324439</v>
      </c>
      <c r="L455" s="121"/>
    </row>
    <row r="456" spans="1:12" x14ac:dyDescent="0.2">
      <c r="A456" s="26" t="s">
        <v>164</v>
      </c>
      <c r="B456" s="125">
        <v>16624</v>
      </c>
      <c r="C456" s="125">
        <v>28476</v>
      </c>
      <c r="D456" s="125">
        <v>34411</v>
      </c>
      <c r="E456" s="125">
        <v>72295</v>
      </c>
      <c r="F456" s="125">
        <v>60732</v>
      </c>
      <c r="G456" s="125">
        <v>50075</v>
      </c>
      <c r="H456" s="125">
        <v>38178</v>
      </c>
      <c r="I456" s="125">
        <v>22037</v>
      </c>
      <c r="J456" s="125">
        <v>7746</v>
      </c>
      <c r="K456" s="125">
        <v>330574</v>
      </c>
      <c r="L456" s="121"/>
    </row>
    <row r="457" spans="1:12" x14ac:dyDescent="0.2">
      <c r="A457" s="26" t="s">
        <v>165</v>
      </c>
      <c r="B457" s="125">
        <v>16473</v>
      </c>
      <c r="C457" s="125">
        <v>27479</v>
      </c>
      <c r="D457" s="125">
        <v>33522</v>
      </c>
      <c r="E457" s="125">
        <v>72151</v>
      </c>
      <c r="F457" s="125">
        <v>60832</v>
      </c>
      <c r="G457" s="125">
        <v>49701</v>
      </c>
      <c r="H457" s="125">
        <v>38141</v>
      </c>
      <c r="I457" s="125">
        <v>23273</v>
      </c>
      <c r="J457" s="125">
        <v>8065</v>
      </c>
      <c r="K457" s="125">
        <v>329637</v>
      </c>
      <c r="L457" s="121"/>
    </row>
    <row r="458" spans="1:12" x14ac:dyDescent="0.2">
      <c r="A458" s="26" t="s">
        <v>166</v>
      </c>
      <c r="B458" s="125">
        <v>14798</v>
      </c>
      <c r="C458" s="125">
        <v>26071</v>
      </c>
      <c r="D458" s="125">
        <v>32701</v>
      </c>
      <c r="E458" s="125">
        <v>71723</v>
      </c>
      <c r="F458" s="125">
        <v>60671</v>
      </c>
      <c r="G458" s="125">
        <v>49567</v>
      </c>
      <c r="H458" s="125">
        <v>37870</v>
      </c>
      <c r="I458" s="125">
        <v>24519</v>
      </c>
      <c r="J458" s="125">
        <v>8575</v>
      </c>
      <c r="K458" s="125">
        <v>326495</v>
      </c>
      <c r="L458" s="121"/>
    </row>
    <row r="459" spans="1:12" x14ac:dyDescent="0.2">
      <c r="A459" s="26" t="s">
        <v>168</v>
      </c>
      <c r="B459" s="125">
        <v>11646</v>
      </c>
      <c r="C459" s="125">
        <v>24947</v>
      </c>
      <c r="D459" s="125">
        <v>32797</v>
      </c>
      <c r="E459" s="125">
        <v>72367</v>
      </c>
      <c r="F459" s="125">
        <v>61392</v>
      </c>
      <c r="G459" s="125">
        <v>50286</v>
      </c>
      <c r="H459" s="125">
        <v>38147</v>
      </c>
      <c r="I459" s="125">
        <v>25816</v>
      </c>
      <c r="J459" s="125">
        <v>9056</v>
      </c>
      <c r="K459" s="125">
        <v>326454</v>
      </c>
      <c r="L459" s="121"/>
    </row>
    <row r="460" spans="1:12" x14ac:dyDescent="0.2">
      <c r="A460" s="26" t="s">
        <v>195</v>
      </c>
      <c r="B460" s="125">
        <v>17364</v>
      </c>
      <c r="C460" s="125">
        <v>25413</v>
      </c>
      <c r="D460" s="125">
        <v>33834</v>
      </c>
      <c r="E460" s="125">
        <v>72940</v>
      </c>
      <c r="F460" s="125">
        <v>61925</v>
      </c>
      <c r="G460" s="125">
        <v>50241</v>
      </c>
      <c r="H460" s="125">
        <v>37352</v>
      </c>
      <c r="I460" s="125">
        <v>25940</v>
      </c>
      <c r="J460" s="125">
        <v>9891</v>
      </c>
      <c r="K460" s="125">
        <v>334900</v>
      </c>
      <c r="L460" s="121"/>
    </row>
    <row r="461" spans="1:12" x14ac:dyDescent="0.2">
      <c r="A461" s="26" t="s">
        <v>196</v>
      </c>
      <c r="B461" s="125">
        <v>18403</v>
      </c>
      <c r="C461" s="125">
        <v>25149</v>
      </c>
      <c r="D461" s="125">
        <v>33840</v>
      </c>
      <c r="E461" s="125">
        <v>73700</v>
      </c>
      <c r="F461" s="125">
        <v>63278</v>
      </c>
      <c r="G461" s="125">
        <v>51307</v>
      </c>
      <c r="H461" s="125">
        <v>37855</v>
      </c>
      <c r="I461" s="125">
        <v>27372</v>
      </c>
      <c r="J461" s="125">
        <v>10516</v>
      </c>
      <c r="K461" s="125">
        <v>341420</v>
      </c>
      <c r="L461" s="121"/>
    </row>
    <row r="462" spans="1:12" x14ac:dyDescent="0.2">
      <c r="A462" s="26" t="s">
        <v>210</v>
      </c>
      <c r="B462" s="125">
        <v>19066</v>
      </c>
      <c r="C462" s="125">
        <v>24762</v>
      </c>
      <c r="D462" s="125">
        <v>33079</v>
      </c>
      <c r="E462" s="125">
        <v>74422</v>
      </c>
      <c r="F462" s="125">
        <v>65074</v>
      </c>
      <c r="G462" s="125">
        <v>52110</v>
      </c>
      <c r="H462" s="125">
        <v>39147</v>
      </c>
      <c r="I462" s="125">
        <v>28791</v>
      </c>
      <c r="J462" s="125">
        <v>11441</v>
      </c>
      <c r="K462" s="125">
        <v>347892</v>
      </c>
      <c r="L462" s="121"/>
    </row>
    <row r="463" spans="1:12" x14ac:dyDescent="0.2">
      <c r="A463" s="30" t="s">
        <v>222</v>
      </c>
      <c r="B463" s="133">
        <v>19903</v>
      </c>
      <c r="C463" s="133">
        <v>24690</v>
      </c>
      <c r="D463" s="133">
        <v>32231</v>
      </c>
      <c r="E463" s="133">
        <v>75127</v>
      </c>
      <c r="F463" s="133">
        <v>66816</v>
      </c>
      <c r="G463" s="133">
        <v>52910</v>
      </c>
      <c r="H463" s="133">
        <v>39816</v>
      </c>
      <c r="I463" s="133">
        <v>29408</v>
      </c>
      <c r="J463" s="133">
        <v>12433</v>
      </c>
      <c r="K463" s="133">
        <v>353334</v>
      </c>
      <c r="L463" s="121"/>
    </row>
    <row r="464" spans="1:12" x14ac:dyDescent="0.2">
      <c r="A464" s="5" t="s">
        <v>18</v>
      </c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</row>
    <row r="465" spans="1:12" x14ac:dyDescent="0.2">
      <c r="A465" s="19" t="s">
        <v>394</v>
      </c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</row>
    <row r="468" spans="1:12" x14ac:dyDescent="0.2">
      <c r="A468" s="6" t="s">
        <v>262</v>
      </c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spans="1:12" x14ac:dyDescent="0.2">
      <c r="A469" s="206" t="s">
        <v>154</v>
      </c>
      <c r="B469" s="208" t="s">
        <v>224</v>
      </c>
      <c r="C469" s="208"/>
      <c r="D469" s="208"/>
      <c r="E469" s="208"/>
      <c r="F469" s="208"/>
      <c r="G469" s="208"/>
      <c r="H469" s="208"/>
      <c r="I469" s="208"/>
      <c r="J469" s="208"/>
      <c r="K469" s="208"/>
    </row>
    <row r="470" spans="1:12" x14ac:dyDescent="0.2">
      <c r="A470" s="209"/>
      <c r="B470" s="9" t="s">
        <v>235</v>
      </c>
      <c r="C470" s="9" t="s">
        <v>226</v>
      </c>
      <c r="D470" s="9" t="s">
        <v>227</v>
      </c>
      <c r="E470" s="9" t="s">
        <v>228</v>
      </c>
      <c r="F470" s="9" t="s">
        <v>229</v>
      </c>
      <c r="G470" s="9" t="s">
        <v>230</v>
      </c>
      <c r="H470" s="9" t="s">
        <v>231</v>
      </c>
      <c r="I470" s="9" t="s">
        <v>232</v>
      </c>
      <c r="J470" s="9" t="s">
        <v>233</v>
      </c>
      <c r="K470" s="9" t="s">
        <v>7</v>
      </c>
    </row>
    <row r="471" spans="1:12" x14ac:dyDescent="0.2">
      <c r="A471" s="123" t="s">
        <v>155</v>
      </c>
      <c r="B471" s="8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5"/>
    </row>
    <row r="472" spans="1:12" x14ac:dyDescent="0.2">
      <c r="A472" s="26" t="s">
        <v>156</v>
      </c>
      <c r="B472" s="125">
        <v>413013</v>
      </c>
      <c r="C472" s="125">
        <v>627732</v>
      </c>
      <c r="D472" s="125">
        <v>689046</v>
      </c>
      <c r="E472" s="125">
        <v>1450023</v>
      </c>
      <c r="F472" s="125">
        <v>1468570</v>
      </c>
      <c r="G472" s="125">
        <v>1286046</v>
      </c>
      <c r="H472" s="125">
        <v>906248</v>
      </c>
      <c r="I472" s="125">
        <v>440133</v>
      </c>
      <c r="J472" s="125">
        <v>160762</v>
      </c>
      <c r="K472" s="125">
        <v>7443099</v>
      </c>
      <c r="L472" s="121"/>
    </row>
    <row r="473" spans="1:12" x14ac:dyDescent="0.2">
      <c r="A473" s="26" t="s">
        <v>157</v>
      </c>
      <c r="B473" s="125">
        <v>415552</v>
      </c>
      <c r="C473" s="125">
        <v>641366</v>
      </c>
      <c r="D473" s="125">
        <v>707030</v>
      </c>
      <c r="E473" s="125">
        <v>1457032</v>
      </c>
      <c r="F473" s="125">
        <v>1494205</v>
      </c>
      <c r="G473" s="125">
        <v>1318573</v>
      </c>
      <c r="H473" s="125">
        <v>952367</v>
      </c>
      <c r="I473" s="125">
        <v>458969</v>
      </c>
      <c r="J473" s="125">
        <v>172793</v>
      </c>
      <c r="K473" s="125">
        <v>7617887</v>
      </c>
      <c r="L473" s="121"/>
    </row>
    <row r="474" spans="1:12" x14ac:dyDescent="0.2">
      <c r="A474" s="26" t="s">
        <v>158</v>
      </c>
      <c r="B474" s="125">
        <v>412262</v>
      </c>
      <c r="C474" s="125">
        <v>648513</v>
      </c>
      <c r="D474" s="125">
        <v>715947</v>
      </c>
      <c r="E474" s="125">
        <v>1463362</v>
      </c>
      <c r="F474" s="125">
        <v>1513759</v>
      </c>
      <c r="G474" s="125">
        <v>1350486</v>
      </c>
      <c r="H474" s="125">
        <v>994859</v>
      </c>
      <c r="I474" s="125">
        <v>485482</v>
      </c>
      <c r="J474" s="125">
        <v>180602</v>
      </c>
      <c r="K474" s="125">
        <v>7765272</v>
      </c>
      <c r="L474" s="121"/>
    </row>
    <row r="475" spans="1:12" x14ac:dyDescent="0.2">
      <c r="A475" s="26" t="s">
        <v>159</v>
      </c>
      <c r="B475" s="125">
        <v>414763</v>
      </c>
      <c r="C475" s="125">
        <v>656163</v>
      </c>
      <c r="D475" s="125">
        <v>728179</v>
      </c>
      <c r="E475" s="125">
        <v>1490784</v>
      </c>
      <c r="F475" s="125">
        <v>1532454</v>
      </c>
      <c r="G475" s="125">
        <v>1382795</v>
      </c>
      <c r="H475" s="125">
        <v>1042064</v>
      </c>
      <c r="I475" s="125">
        <v>511739</v>
      </c>
      <c r="J475" s="125">
        <v>189909</v>
      </c>
      <c r="K475" s="125">
        <v>7948850</v>
      </c>
      <c r="L475" s="121"/>
    </row>
    <row r="476" spans="1:12" x14ac:dyDescent="0.2">
      <c r="A476" s="26" t="s">
        <v>160</v>
      </c>
      <c r="B476" s="125">
        <v>415779</v>
      </c>
      <c r="C476" s="125">
        <v>657006</v>
      </c>
      <c r="D476" s="125">
        <v>732353</v>
      </c>
      <c r="E476" s="125">
        <v>1512090</v>
      </c>
      <c r="F476" s="125">
        <v>1539622</v>
      </c>
      <c r="G476" s="125">
        <v>1405652</v>
      </c>
      <c r="H476" s="125">
        <v>1075636</v>
      </c>
      <c r="I476" s="125">
        <v>543465</v>
      </c>
      <c r="J476" s="125">
        <v>197167</v>
      </c>
      <c r="K476" s="125">
        <v>8078770</v>
      </c>
      <c r="L476" s="121"/>
    </row>
    <row r="477" spans="1:12" x14ac:dyDescent="0.2">
      <c r="A477" s="26" t="s">
        <v>161</v>
      </c>
      <c r="B477" s="125">
        <v>417783</v>
      </c>
      <c r="C477" s="125">
        <v>661071</v>
      </c>
      <c r="D477" s="125">
        <v>742646</v>
      </c>
      <c r="E477" s="125">
        <v>1543801</v>
      </c>
      <c r="F477" s="125">
        <v>1551135</v>
      </c>
      <c r="G477" s="125">
        <v>1423462</v>
      </c>
      <c r="H477" s="125">
        <v>1109280</v>
      </c>
      <c r="I477" s="125">
        <v>576376</v>
      </c>
      <c r="J477" s="125">
        <v>200225</v>
      </c>
      <c r="K477" s="125">
        <v>8225780</v>
      </c>
      <c r="L477" s="121"/>
    </row>
    <row r="478" spans="1:12" x14ac:dyDescent="0.2">
      <c r="A478" s="26" t="s">
        <v>162</v>
      </c>
      <c r="B478" s="125">
        <v>423082</v>
      </c>
      <c r="C478" s="125">
        <v>661312</v>
      </c>
      <c r="D478" s="125">
        <v>754453</v>
      </c>
      <c r="E478" s="125">
        <v>1585701</v>
      </c>
      <c r="F478" s="125">
        <v>1565143</v>
      </c>
      <c r="G478" s="125">
        <v>1439161</v>
      </c>
      <c r="H478" s="125">
        <v>1146273</v>
      </c>
      <c r="I478" s="125">
        <v>616225.31751368067</v>
      </c>
      <c r="J478" s="125">
        <v>212571.6824863193</v>
      </c>
      <c r="K478" s="125">
        <v>8398733</v>
      </c>
      <c r="L478" s="121"/>
    </row>
    <row r="479" spans="1:12" x14ac:dyDescent="0.2">
      <c r="A479" s="26" t="s">
        <v>163</v>
      </c>
      <c r="B479" s="125">
        <v>424958</v>
      </c>
      <c r="C479" s="125">
        <v>665211</v>
      </c>
      <c r="D479" s="125">
        <v>763662</v>
      </c>
      <c r="E479" s="125">
        <v>1623854</v>
      </c>
      <c r="F479" s="125">
        <v>1575060</v>
      </c>
      <c r="G479" s="125">
        <v>1451165</v>
      </c>
      <c r="H479" s="125">
        <v>1163900</v>
      </c>
      <c r="I479" s="125">
        <v>664541</v>
      </c>
      <c r="J479" s="125">
        <v>224472</v>
      </c>
      <c r="K479" s="125">
        <v>8556823</v>
      </c>
      <c r="L479" s="121"/>
    </row>
    <row r="480" spans="1:12" x14ac:dyDescent="0.2">
      <c r="A480" s="26" t="s">
        <v>164</v>
      </c>
      <c r="B480" s="125">
        <v>439652</v>
      </c>
      <c r="C480" s="125">
        <v>668192</v>
      </c>
      <c r="D480" s="125">
        <v>771414</v>
      </c>
      <c r="E480" s="125">
        <v>1663783</v>
      </c>
      <c r="F480" s="125">
        <v>1584734</v>
      </c>
      <c r="G480" s="125">
        <v>1463115</v>
      </c>
      <c r="H480" s="125">
        <v>1190724</v>
      </c>
      <c r="I480" s="125">
        <v>709729</v>
      </c>
      <c r="J480" s="125">
        <v>237476</v>
      </c>
      <c r="K480" s="125">
        <v>8728819</v>
      </c>
      <c r="L480" s="121"/>
    </row>
    <row r="481" spans="1:12" x14ac:dyDescent="0.2">
      <c r="A481" s="26" t="s">
        <v>165</v>
      </c>
      <c r="B481" s="125">
        <v>434714</v>
      </c>
      <c r="C481" s="125">
        <v>669337</v>
      </c>
      <c r="D481" s="125">
        <v>774097</v>
      </c>
      <c r="E481" s="125">
        <v>1699436</v>
      </c>
      <c r="F481" s="125">
        <v>1588690</v>
      </c>
      <c r="G481" s="125">
        <v>1477879</v>
      </c>
      <c r="H481" s="125">
        <v>1218804</v>
      </c>
      <c r="I481" s="125">
        <v>750365</v>
      </c>
      <c r="J481" s="125">
        <v>251581</v>
      </c>
      <c r="K481" s="125">
        <v>8864903</v>
      </c>
      <c r="L481" s="121"/>
    </row>
    <row r="482" spans="1:12" x14ac:dyDescent="0.2">
      <c r="A482" s="26" t="s">
        <v>166</v>
      </c>
      <c r="B482" s="125">
        <v>421399</v>
      </c>
      <c r="C482" s="125">
        <v>668984</v>
      </c>
      <c r="D482" s="125">
        <v>775148</v>
      </c>
      <c r="E482" s="125">
        <v>1731888</v>
      </c>
      <c r="F482" s="125">
        <v>1596120</v>
      </c>
      <c r="G482" s="125">
        <v>1492294</v>
      </c>
      <c r="H482" s="125">
        <v>1241223</v>
      </c>
      <c r="I482" s="125">
        <v>786822.87622449873</v>
      </c>
      <c r="J482" s="125">
        <v>286226.12377550127</v>
      </c>
      <c r="K482" s="125">
        <v>8978376</v>
      </c>
      <c r="L482" s="121"/>
    </row>
    <row r="483" spans="1:12" x14ac:dyDescent="0.2">
      <c r="A483" s="26" t="s">
        <v>168</v>
      </c>
      <c r="B483" s="125">
        <v>438180</v>
      </c>
      <c r="C483" s="125">
        <v>677833</v>
      </c>
      <c r="D483" s="125">
        <v>782224</v>
      </c>
      <c r="E483" s="125">
        <v>1771158</v>
      </c>
      <c r="F483" s="125">
        <v>1602197</v>
      </c>
      <c r="G483" s="125">
        <v>1514227</v>
      </c>
      <c r="H483" s="125">
        <v>1274317</v>
      </c>
      <c r="I483" s="125">
        <v>832275</v>
      </c>
      <c r="J483" s="125">
        <v>281668</v>
      </c>
      <c r="K483" s="125">
        <v>9174079</v>
      </c>
      <c r="L483" s="121"/>
    </row>
    <row r="484" spans="1:12" x14ac:dyDescent="0.2">
      <c r="A484" s="26" t="s">
        <v>195</v>
      </c>
      <c r="B484" s="125">
        <v>452359</v>
      </c>
      <c r="C484" s="125">
        <v>682913</v>
      </c>
      <c r="D484" s="125">
        <v>789368</v>
      </c>
      <c r="E484" s="125">
        <v>1799199</v>
      </c>
      <c r="F484" s="125">
        <v>1619690</v>
      </c>
      <c r="G484" s="125">
        <v>1536836</v>
      </c>
      <c r="H484" s="125">
        <v>1308433</v>
      </c>
      <c r="I484" s="125">
        <v>880715</v>
      </c>
      <c r="J484" s="125">
        <v>318126</v>
      </c>
      <c r="K484" s="125">
        <v>9387639</v>
      </c>
      <c r="L484" s="121"/>
    </row>
    <row r="485" spans="1:12" x14ac:dyDescent="0.2">
      <c r="A485" s="26" t="s">
        <v>196</v>
      </c>
      <c r="B485" s="125">
        <v>471541</v>
      </c>
      <c r="C485" s="125">
        <v>689833</v>
      </c>
      <c r="D485" s="125">
        <v>799096</v>
      </c>
      <c r="E485" s="125">
        <v>1824863</v>
      </c>
      <c r="F485" s="125">
        <v>1646434</v>
      </c>
      <c r="G485" s="125">
        <v>1549697</v>
      </c>
      <c r="H485" s="125">
        <v>1333988</v>
      </c>
      <c r="I485" s="125">
        <v>916130</v>
      </c>
      <c r="J485" s="125">
        <v>336213</v>
      </c>
      <c r="K485" s="125">
        <v>9567795</v>
      </c>
      <c r="L485" s="121"/>
    </row>
    <row r="486" spans="1:12" x14ac:dyDescent="0.2">
      <c r="A486" s="26" t="s">
        <v>210</v>
      </c>
      <c r="B486" s="125">
        <v>493418</v>
      </c>
      <c r="C486" s="125">
        <v>702944</v>
      </c>
      <c r="D486" s="125">
        <v>819294</v>
      </c>
      <c r="E486" s="125">
        <v>1860854</v>
      </c>
      <c r="F486" s="125">
        <v>1684691</v>
      </c>
      <c r="G486" s="125">
        <v>1562860</v>
      </c>
      <c r="H486" s="125">
        <v>1361129</v>
      </c>
      <c r="I486" s="125">
        <v>948546</v>
      </c>
      <c r="J486" s="125">
        <v>362513</v>
      </c>
      <c r="K486" s="125">
        <v>9796249</v>
      </c>
      <c r="L486" s="121"/>
    </row>
    <row r="487" spans="1:12" x14ac:dyDescent="0.2">
      <c r="A487" s="26" t="s">
        <v>222</v>
      </c>
      <c r="B487" s="125">
        <v>512010.76606835099</v>
      </c>
      <c r="C487" s="125">
        <v>723144.23393164901</v>
      </c>
      <c r="D487" s="125">
        <v>848117</v>
      </c>
      <c r="E487" s="125">
        <v>1907520</v>
      </c>
      <c r="F487" s="125">
        <v>1739282</v>
      </c>
      <c r="G487" s="125">
        <v>1586908</v>
      </c>
      <c r="H487" s="125">
        <v>1382467</v>
      </c>
      <c r="I487" s="125">
        <v>974732</v>
      </c>
      <c r="J487" s="125">
        <v>368908</v>
      </c>
      <c r="K487" s="125">
        <v>10043089</v>
      </c>
      <c r="L487" s="121"/>
    </row>
    <row r="488" spans="1:12" x14ac:dyDescent="0.2">
      <c r="A488" s="19" t="s">
        <v>167</v>
      </c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</row>
    <row r="489" spans="1:12" x14ac:dyDescent="0.2">
      <c r="A489" s="26" t="s">
        <v>156</v>
      </c>
      <c r="B489" s="125">
        <v>440329</v>
      </c>
      <c r="C489" s="125">
        <v>652696</v>
      </c>
      <c r="D489" s="125">
        <v>717513</v>
      </c>
      <c r="E489" s="125">
        <v>1479830</v>
      </c>
      <c r="F489" s="125">
        <v>1514199</v>
      </c>
      <c r="G489" s="125">
        <v>1347970</v>
      </c>
      <c r="H489" s="125">
        <v>1020064</v>
      </c>
      <c r="I489" s="125">
        <v>541381</v>
      </c>
      <c r="J489" s="125">
        <v>223314</v>
      </c>
      <c r="K489" s="125">
        <v>7937296</v>
      </c>
      <c r="L489" s="121"/>
    </row>
    <row r="490" spans="1:12" x14ac:dyDescent="0.2">
      <c r="A490" s="26" t="s">
        <v>157</v>
      </c>
      <c r="B490" s="125">
        <v>441742</v>
      </c>
      <c r="C490" s="125">
        <v>669041</v>
      </c>
      <c r="D490" s="125">
        <v>739971</v>
      </c>
      <c r="E490" s="125">
        <v>1495469</v>
      </c>
      <c r="F490" s="125">
        <v>1539118</v>
      </c>
      <c r="G490" s="125">
        <v>1377681</v>
      </c>
      <c r="H490" s="125">
        <v>1059231</v>
      </c>
      <c r="I490" s="125">
        <v>556826</v>
      </c>
      <c r="J490" s="125">
        <v>235204</v>
      </c>
      <c r="K490" s="125">
        <v>8114283</v>
      </c>
      <c r="L490" s="121"/>
    </row>
    <row r="491" spans="1:12" x14ac:dyDescent="0.2">
      <c r="A491" s="26" t="s">
        <v>158</v>
      </c>
      <c r="B491" s="125">
        <v>436012</v>
      </c>
      <c r="C491" s="125">
        <v>671182</v>
      </c>
      <c r="D491" s="125">
        <v>746780</v>
      </c>
      <c r="E491" s="125">
        <v>1503515</v>
      </c>
      <c r="F491" s="125">
        <v>1553699</v>
      </c>
      <c r="G491" s="125">
        <v>1406430</v>
      </c>
      <c r="H491" s="125">
        <v>1094165</v>
      </c>
      <c r="I491" s="125">
        <v>580051</v>
      </c>
      <c r="J491" s="125">
        <v>242966</v>
      </c>
      <c r="K491" s="125">
        <v>8234800</v>
      </c>
      <c r="L491" s="121"/>
    </row>
    <row r="492" spans="1:12" x14ac:dyDescent="0.2">
      <c r="A492" s="26" t="s">
        <v>159</v>
      </c>
      <c r="B492" s="125">
        <v>435561</v>
      </c>
      <c r="C492" s="125">
        <v>680804</v>
      </c>
      <c r="D492" s="125">
        <v>763349</v>
      </c>
      <c r="E492" s="125">
        <v>1541950</v>
      </c>
      <c r="F492" s="125">
        <v>1571993</v>
      </c>
      <c r="G492" s="125">
        <v>1438880</v>
      </c>
      <c r="H492" s="125">
        <v>1134552</v>
      </c>
      <c r="I492" s="125">
        <v>603132</v>
      </c>
      <c r="J492" s="125">
        <v>251538</v>
      </c>
      <c r="K492" s="125">
        <v>8421759</v>
      </c>
      <c r="L492" s="121"/>
    </row>
    <row r="493" spans="1:12" x14ac:dyDescent="0.2">
      <c r="A493" s="26" t="s">
        <v>160</v>
      </c>
      <c r="B493" s="125">
        <v>433352</v>
      </c>
      <c r="C493" s="125">
        <v>681038</v>
      </c>
      <c r="D493" s="125">
        <v>765841</v>
      </c>
      <c r="E493" s="125">
        <v>1565187</v>
      </c>
      <c r="F493" s="125">
        <v>1574181</v>
      </c>
      <c r="G493" s="125">
        <v>1460879</v>
      </c>
      <c r="H493" s="125">
        <v>1159115</v>
      </c>
      <c r="I493" s="125">
        <v>631637</v>
      </c>
      <c r="J493" s="125">
        <v>258680</v>
      </c>
      <c r="K493" s="125">
        <v>8529910</v>
      </c>
      <c r="L493" s="121"/>
    </row>
    <row r="494" spans="1:12" x14ac:dyDescent="0.2">
      <c r="A494" s="26" t="s">
        <v>161</v>
      </c>
      <c r="B494" s="125">
        <v>432636</v>
      </c>
      <c r="C494" s="125">
        <v>684617</v>
      </c>
      <c r="D494" s="125">
        <v>773259</v>
      </c>
      <c r="E494" s="125">
        <v>1596987</v>
      </c>
      <c r="F494" s="125">
        <v>1583795</v>
      </c>
      <c r="G494" s="125">
        <v>1477231</v>
      </c>
      <c r="H494" s="125">
        <v>1184044</v>
      </c>
      <c r="I494" s="125">
        <v>660809</v>
      </c>
      <c r="J494" s="125">
        <v>259992</v>
      </c>
      <c r="K494" s="125">
        <v>8653370</v>
      </c>
      <c r="L494" s="121"/>
    </row>
    <row r="495" spans="1:12" x14ac:dyDescent="0.2">
      <c r="A495" s="26" t="s">
        <v>162</v>
      </c>
      <c r="B495" s="125">
        <v>435720</v>
      </c>
      <c r="C495" s="125">
        <v>687748</v>
      </c>
      <c r="D495" s="125">
        <v>781050</v>
      </c>
      <c r="E495" s="125">
        <v>1637363</v>
      </c>
      <c r="F495" s="125">
        <v>1596109</v>
      </c>
      <c r="G495" s="125">
        <v>1489269</v>
      </c>
      <c r="H495" s="125">
        <v>1213661</v>
      </c>
      <c r="I495" s="125">
        <v>696760.25661637052</v>
      </c>
      <c r="J495" s="125">
        <v>271694.74338362948</v>
      </c>
      <c r="K495" s="125">
        <v>8804894</v>
      </c>
      <c r="L495" s="121"/>
    </row>
    <row r="496" spans="1:12" x14ac:dyDescent="0.2">
      <c r="A496" s="26" t="s">
        <v>163</v>
      </c>
      <c r="B496" s="125">
        <v>436242</v>
      </c>
      <c r="C496" s="125">
        <v>693175</v>
      </c>
      <c r="D496" s="125">
        <v>787672</v>
      </c>
      <c r="E496" s="125">
        <v>1673316</v>
      </c>
      <c r="F496" s="125">
        <v>1604706</v>
      </c>
      <c r="G496" s="125">
        <v>1499216</v>
      </c>
      <c r="H496" s="125">
        <v>1222512</v>
      </c>
      <c r="I496" s="125">
        <v>743025</v>
      </c>
      <c r="J496" s="125">
        <v>283390</v>
      </c>
      <c r="K496" s="125">
        <v>8943254</v>
      </c>
      <c r="L496" s="121"/>
    </row>
    <row r="497" spans="1:12" x14ac:dyDescent="0.2">
      <c r="A497" s="26" t="s">
        <v>164</v>
      </c>
      <c r="B497" s="125">
        <v>447532</v>
      </c>
      <c r="C497" s="125">
        <v>697098</v>
      </c>
      <c r="D497" s="125">
        <v>796338</v>
      </c>
      <c r="E497" s="125">
        <v>1707432</v>
      </c>
      <c r="F497" s="125">
        <v>1612469</v>
      </c>
      <c r="G497" s="125">
        <v>1508464</v>
      </c>
      <c r="H497" s="125">
        <v>1240937</v>
      </c>
      <c r="I497" s="125">
        <v>785189</v>
      </c>
      <c r="J497" s="125">
        <v>295774</v>
      </c>
      <c r="K497" s="125">
        <v>9091233</v>
      </c>
      <c r="L497" s="121"/>
    </row>
    <row r="498" spans="1:12" x14ac:dyDescent="0.2">
      <c r="A498" s="26" t="s">
        <v>165</v>
      </c>
      <c r="B498" s="125">
        <v>443868</v>
      </c>
      <c r="C498" s="125">
        <v>700522</v>
      </c>
      <c r="D498" s="125">
        <v>807319</v>
      </c>
      <c r="E498" s="125">
        <v>1739144</v>
      </c>
      <c r="F498" s="125">
        <v>1616476</v>
      </c>
      <c r="G498" s="125">
        <v>1518880</v>
      </c>
      <c r="H498" s="125">
        <v>1261952</v>
      </c>
      <c r="I498" s="125">
        <v>820460</v>
      </c>
      <c r="J498" s="125">
        <v>308839</v>
      </c>
      <c r="K498" s="125">
        <v>9217460</v>
      </c>
      <c r="L498" s="121"/>
    </row>
    <row r="499" spans="1:12" x14ac:dyDescent="0.2">
      <c r="A499" s="26" t="s">
        <v>166</v>
      </c>
      <c r="B499" s="125">
        <v>432151</v>
      </c>
      <c r="C499" s="125">
        <v>701587</v>
      </c>
      <c r="D499" s="125">
        <v>818203</v>
      </c>
      <c r="E499" s="125">
        <v>1769232</v>
      </c>
      <c r="F499" s="125">
        <v>1624959</v>
      </c>
      <c r="G499" s="125">
        <v>1531807</v>
      </c>
      <c r="H499" s="125">
        <v>1279590</v>
      </c>
      <c r="I499" s="125">
        <v>850347.83137445152</v>
      </c>
      <c r="J499" s="125">
        <v>320520.16862554848</v>
      </c>
      <c r="K499" s="125">
        <v>9328403</v>
      </c>
      <c r="L499" s="121"/>
    </row>
    <row r="500" spans="1:12" x14ac:dyDescent="0.2">
      <c r="A500" s="26" t="s">
        <v>168</v>
      </c>
      <c r="B500" s="125">
        <v>450143</v>
      </c>
      <c r="C500" s="125">
        <v>708494</v>
      </c>
      <c r="D500" s="125">
        <v>827359</v>
      </c>
      <c r="E500" s="125">
        <v>1795053</v>
      </c>
      <c r="F500" s="125">
        <v>1631174</v>
      </c>
      <c r="G500" s="125">
        <v>1546173</v>
      </c>
      <c r="H500" s="125">
        <v>1306243</v>
      </c>
      <c r="I500" s="125">
        <v>887988</v>
      </c>
      <c r="J500" s="125">
        <v>337524</v>
      </c>
      <c r="K500" s="125">
        <v>9490151</v>
      </c>
      <c r="L500" s="121"/>
    </row>
    <row r="501" spans="1:12" x14ac:dyDescent="0.2">
      <c r="A501" s="26" t="s">
        <v>195</v>
      </c>
      <c r="B501" s="125">
        <v>468809</v>
      </c>
      <c r="C501" s="125">
        <v>713262</v>
      </c>
      <c r="D501" s="125">
        <v>835398</v>
      </c>
      <c r="E501" s="125">
        <v>1817739</v>
      </c>
      <c r="F501" s="125">
        <v>1651806</v>
      </c>
      <c r="G501" s="125">
        <v>1565237</v>
      </c>
      <c r="H501" s="125">
        <v>1338914</v>
      </c>
      <c r="I501" s="125">
        <v>932288</v>
      </c>
      <c r="J501" s="125">
        <v>378901</v>
      </c>
      <c r="K501" s="125">
        <v>9702354</v>
      </c>
      <c r="L501" s="121"/>
    </row>
    <row r="502" spans="1:12" x14ac:dyDescent="0.2">
      <c r="A502" s="26" t="s">
        <v>196</v>
      </c>
      <c r="B502" s="125">
        <v>493633</v>
      </c>
      <c r="C502" s="125">
        <v>728899</v>
      </c>
      <c r="D502" s="125">
        <v>850674</v>
      </c>
      <c r="E502" s="125">
        <v>1845299</v>
      </c>
      <c r="F502" s="125">
        <v>1679839</v>
      </c>
      <c r="G502" s="125">
        <v>1573502</v>
      </c>
      <c r="H502" s="125">
        <v>1361827</v>
      </c>
      <c r="I502" s="125">
        <v>956957</v>
      </c>
      <c r="J502" s="125">
        <v>387331</v>
      </c>
      <c r="K502" s="125">
        <v>9877961</v>
      </c>
      <c r="L502" s="121"/>
    </row>
    <row r="503" spans="1:12" x14ac:dyDescent="0.2">
      <c r="A503" s="26" t="s">
        <v>210</v>
      </c>
      <c r="B503" s="125">
        <v>519016</v>
      </c>
      <c r="C503" s="125">
        <v>757131</v>
      </c>
      <c r="D503" s="125">
        <v>879453</v>
      </c>
      <c r="E503" s="125">
        <v>1894256</v>
      </c>
      <c r="F503" s="125">
        <v>1721360</v>
      </c>
      <c r="G503" s="125">
        <v>1583110</v>
      </c>
      <c r="H503" s="125">
        <v>1389148</v>
      </c>
      <c r="I503" s="125">
        <v>982424</v>
      </c>
      <c r="J503" s="125">
        <v>410486</v>
      </c>
      <c r="K503" s="125">
        <v>10136384</v>
      </c>
      <c r="L503" s="121"/>
    </row>
    <row r="504" spans="1:12" x14ac:dyDescent="0.2">
      <c r="A504" s="26" t="s">
        <v>222</v>
      </c>
      <c r="B504" s="125">
        <v>543301.83455025998</v>
      </c>
      <c r="C504" s="125">
        <v>792735.16544974002</v>
      </c>
      <c r="D504" s="125">
        <v>915992</v>
      </c>
      <c r="E504" s="125">
        <v>1961622</v>
      </c>
      <c r="F504" s="125">
        <v>1779688</v>
      </c>
      <c r="G504" s="125">
        <v>1601962</v>
      </c>
      <c r="H504" s="125">
        <v>1405859</v>
      </c>
      <c r="I504" s="125">
        <v>1004461</v>
      </c>
      <c r="J504" s="125">
        <v>426688</v>
      </c>
      <c r="K504" s="125">
        <v>10432309</v>
      </c>
      <c r="L504" s="121"/>
    </row>
    <row r="505" spans="1:12" x14ac:dyDescent="0.2">
      <c r="A505" s="19" t="s">
        <v>234</v>
      </c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</row>
    <row r="506" spans="1:12" x14ac:dyDescent="0.2">
      <c r="A506" s="26" t="s">
        <v>156</v>
      </c>
      <c r="B506" s="125">
        <v>854872</v>
      </c>
      <c r="C506" s="125">
        <v>1280463</v>
      </c>
      <c r="D506" s="125">
        <v>1406609</v>
      </c>
      <c r="E506" s="125">
        <v>2930080</v>
      </c>
      <c r="F506" s="125">
        <v>2983286</v>
      </c>
      <c r="G506" s="125">
        <v>2634604</v>
      </c>
      <c r="H506" s="125">
        <v>1926769</v>
      </c>
      <c r="I506" s="125">
        <v>981723</v>
      </c>
      <c r="J506" s="125">
        <v>384118</v>
      </c>
      <c r="K506" s="125">
        <v>15382524</v>
      </c>
      <c r="L506" s="121"/>
    </row>
    <row r="507" spans="1:12" x14ac:dyDescent="0.2">
      <c r="A507" s="26" t="s">
        <v>157</v>
      </c>
      <c r="B507" s="125">
        <v>857296</v>
      </c>
      <c r="C507" s="125">
        <v>1310428</v>
      </c>
      <c r="D507" s="125">
        <v>1447053</v>
      </c>
      <c r="E507" s="125">
        <v>2952712</v>
      </c>
      <c r="F507" s="125">
        <v>3033798</v>
      </c>
      <c r="G507" s="125">
        <v>2696827</v>
      </c>
      <c r="H507" s="125">
        <v>2012068</v>
      </c>
      <c r="I507" s="125">
        <v>1016005</v>
      </c>
      <c r="J507" s="125">
        <v>408033</v>
      </c>
      <c r="K507" s="125">
        <v>15734220</v>
      </c>
      <c r="L507" s="121"/>
    </row>
    <row r="508" spans="1:12" x14ac:dyDescent="0.2">
      <c r="A508" s="26" t="s">
        <v>158</v>
      </c>
      <c r="B508" s="125">
        <v>848276</v>
      </c>
      <c r="C508" s="125">
        <v>1319713</v>
      </c>
      <c r="D508" s="125">
        <v>1462775</v>
      </c>
      <c r="E508" s="125">
        <v>2967067</v>
      </c>
      <c r="F508" s="125">
        <v>3067880</v>
      </c>
      <c r="G508" s="125">
        <v>2757455</v>
      </c>
      <c r="H508" s="125">
        <v>2089514</v>
      </c>
      <c r="I508" s="125">
        <v>1065742</v>
      </c>
      <c r="J508" s="125">
        <v>423604</v>
      </c>
      <c r="K508" s="125">
        <v>16002026</v>
      </c>
      <c r="L508" s="121"/>
    </row>
    <row r="509" spans="1:12" x14ac:dyDescent="0.2">
      <c r="A509" s="26" t="s">
        <v>159</v>
      </c>
      <c r="B509" s="125">
        <v>850324</v>
      </c>
      <c r="C509" s="125">
        <v>1336988</v>
      </c>
      <c r="D509" s="125">
        <v>1491592</v>
      </c>
      <c r="E509" s="125">
        <v>3032915</v>
      </c>
      <c r="F509" s="125">
        <v>3104855</v>
      </c>
      <c r="G509" s="125">
        <v>2822216</v>
      </c>
      <c r="H509" s="125">
        <v>2177085</v>
      </c>
      <c r="I509" s="125">
        <v>1115091</v>
      </c>
      <c r="J509" s="125">
        <v>441490</v>
      </c>
      <c r="K509" s="125">
        <v>16372556</v>
      </c>
      <c r="L509" s="121"/>
    </row>
    <row r="510" spans="1:12" x14ac:dyDescent="0.2">
      <c r="A510" s="26" t="s">
        <v>160</v>
      </c>
      <c r="B510" s="125">
        <v>849132</v>
      </c>
      <c r="C510" s="125">
        <v>1338061</v>
      </c>
      <c r="D510" s="125">
        <v>1498262</v>
      </c>
      <c r="E510" s="125">
        <v>3077442</v>
      </c>
      <c r="F510" s="125">
        <v>3114170</v>
      </c>
      <c r="G510" s="125">
        <v>2867034</v>
      </c>
      <c r="H510" s="125">
        <v>2235236</v>
      </c>
      <c r="I510" s="125">
        <v>1175328</v>
      </c>
      <c r="J510" s="125">
        <v>455894</v>
      </c>
      <c r="K510" s="125">
        <v>16610559</v>
      </c>
      <c r="L510" s="121"/>
    </row>
    <row r="511" spans="1:12" x14ac:dyDescent="0.2">
      <c r="A511" s="26" t="s">
        <v>161</v>
      </c>
      <c r="B511" s="125">
        <v>850442</v>
      </c>
      <c r="C511" s="125">
        <v>1345704</v>
      </c>
      <c r="D511" s="125">
        <v>1515974</v>
      </c>
      <c r="E511" s="125">
        <v>3140961</v>
      </c>
      <c r="F511" s="125">
        <v>3135279</v>
      </c>
      <c r="G511" s="125">
        <v>2901230</v>
      </c>
      <c r="H511" s="125">
        <v>2293790</v>
      </c>
      <c r="I511" s="125">
        <v>1237421</v>
      </c>
      <c r="J511" s="125">
        <v>460273</v>
      </c>
      <c r="K511" s="125">
        <v>16881075</v>
      </c>
      <c r="L511" s="121"/>
    </row>
    <row r="512" spans="1:12" x14ac:dyDescent="0.2">
      <c r="A512" s="26" t="s">
        <v>162</v>
      </c>
      <c r="B512" s="125">
        <v>858854</v>
      </c>
      <c r="C512" s="125">
        <v>1349109</v>
      </c>
      <c r="D512" s="125">
        <v>1535589</v>
      </c>
      <c r="E512" s="125">
        <v>3223258</v>
      </c>
      <c r="F512" s="125">
        <v>3161586</v>
      </c>
      <c r="G512" s="125">
        <v>2928930</v>
      </c>
      <c r="H512" s="125">
        <v>2360406</v>
      </c>
      <c r="I512" s="125">
        <v>1313223.9896544819</v>
      </c>
      <c r="J512" s="125">
        <v>484348.0103455176</v>
      </c>
      <c r="K512" s="125">
        <v>17205631</v>
      </c>
      <c r="L512" s="121"/>
    </row>
    <row r="513" spans="1:12" x14ac:dyDescent="0.2">
      <c r="A513" s="26" t="s">
        <v>163</v>
      </c>
      <c r="B513" s="125">
        <v>861286</v>
      </c>
      <c r="C513" s="125">
        <v>1358441</v>
      </c>
      <c r="D513" s="125">
        <v>1551441</v>
      </c>
      <c r="E513" s="125">
        <v>3297374</v>
      </c>
      <c r="F513" s="125">
        <v>3180078</v>
      </c>
      <c r="G513" s="125">
        <v>2950877</v>
      </c>
      <c r="H513" s="125">
        <v>2386876</v>
      </c>
      <c r="I513" s="125">
        <v>1407847</v>
      </c>
      <c r="J513" s="125">
        <v>507919</v>
      </c>
      <c r="K513" s="125">
        <v>17502139</v>
      </c>
      <c r="L513" s="121"/>
    </row>
    <row r="514" spans="1:12" x14ac:dyDescent="0.2">
      <c r="A514" s="26" t="s">
        <v>164</v>
      </c>
      <c r="B514" s="125">
        <v>887294</v>
      </c>
      <c r="C514" s="125">
        <v>1365369</v>
      </c>
      <c r="D514" s="125">
        <v>1567924</v>
      </c>
      <c r="E514" s="125">
        <v>3371428</v>
      </c>
      <c r="F514" s="125">
        <v>3197482</v>
      </c>
      <c r="G514" s="125">
        <v>2972082</v>
      </c>
      <c r="H514" s="125">
        <v>2432100</v>
      </c>
      <c r="I514" s="125">
        <v>1495211</v>
      </c>
      <c r="J514" s="125">
        <v>533323</v>
      </c>
      <c r="K514" s="125">
        <v>17822213</v>
      </c>
      <c r="L514" s="121"/>
    </row>
    <row r="515" spans="1:12" x14ac:dyDescent="0.2">
      <c r="A515" s="26" t="s">
        <v>165</v>
      </c>
      <c r="B515" s="125">
        <v>878582</v>
      </c>
      <c r="C515" s="125">
        <v>1370173</v>
      </c>
      <c r="D515" s="125">
        <v>1582034</v>
      </c>
      <c r="E515" s="125">
        <v>3438155</v>
      </c>
      <c r="F515" s="125">
        <v>3205293</v>
      </c>
      <c r="G515" s="125">
        <v>2996875</v>
      </c>
      <c r="H515" s="125">
        <v>2480215</v>
      </c>
      <c r="I515" s="125">
        <v>1570026</v>
      </c>
      <c r="J515" s="125">
        <v>560229</v>
      </c>
      <c r="K515" s="125">
        <v>18081582</v>
      </c>
      <c r="L515" s="121"/>
    </row>
    <row r="516" spans="1:12" x14ac:dyDescent="0.2">
      <c r="A516" s="26" t="s">
        <v>166</v>
      </c>
      <c r="B516" s="125">
        <v>853688</v>
      </c>
      <c r="C516" s="125">
        <v>1370705</v>
      </c>
      <c r="D516" s="125">
        <v>1593560</v>
      </c>
      <c r="E516" s="125">
        <v>3501319</v>
      </c>
      <c r="F516" s="125">
        <v>3221185</v>
      </c>
      <c r="G516" s="125">
        <v>3024224</v>
      </c>
      <c r="H516" s="125">
        <v>2520884</v>
      </c>
      <c r="I516" s="125">
        <v>1637164.5213608751</v>
      </c>
      <c r="J516" s="125">
        <v>585055.47863912489</v>
      </c>
      <c r="K516" s="125">
        <v>18307795</v>
      </c>
      <c r="L516" s="121"/>
    </row>
    <row r="517" spans="1:12" x14ac:dyDescent="0.2">
      <c r="A517" s="26" t="s">
        <v>168</v>
      </c>
      <c r="B517" s="125">
        <v>888441</v>
      </c>
      <c r="C517" s="125">
        <v>1386472</v>
      </c>
      <c r="D517" s="125">
        <v>1609698</v>
      </c>
      <c r="E517" s="125">
        <v>3566421</v>
      </c>
      <c r="F517" s="125">
        <v>3233484</v>
      </c>
      <c r="G517" s="125">
        <v>3060560</v>
      </c>
      <c r="H517" s="125">
        <v>2580649</v>
      </c>
      <c r="I517" s="125">
        <v>1720302</v>
      </c>
      <c r="J517" s="125">
        <v>619198</v>
      </c>
      <c r="K517" s="125">
        <v>18665225</v>
      </c>
      <c r="L517" s="121"/>
    </row>
    <row r="518" spans="1:12" x14ac:dyDescent="0.2">
      <c r="A518" s="26" t="s">
        <v>195</v>
      </c>
      <c r="B518" s="125">
        <v>921343</v>
      </c>
      <c r="C518" s="125">
        <v>1396341</v>
      </c>
      <c r="D518" s="125">
        <v>1624936</v>
      </c>
      <c r="E518" s="125">
        <v>3617187</v>
      </c>
      <c r="F518" s="125">
        <v>3271644</v>
      </c>
      <c r="G518" s="125">
        <v>3102230</v>
      </c>
      <c r="H518" s="125">
        <v>2647469</v>
      </c>
      <c r="I518" s="125">
        <v>1813053</v>
      </c>
      <c r="J518" s="125">
        <v>697037</v>
      </c>
      <c r="K518" s="125">
        <v>19091240</v>
      </c>
      <c r="L518" s="121"/>
    </row>
    <row r="519" spans="1:12" x14ac:dyDescent="0.2">
      <c r="A519" s="26" t="s">
        <v>196</v>
      </c>
      <c r="B519" s="125">
        <v>965383</v>
      </c>
      <c r="C519" s="125">
        <v>1418925</v>
      </c>
      <c r="D519" s="125">
        <v>1649954</v>
      </c>
      <c r="E519" s="125">
        <v>3670446</v>
      </c>
      <c r="F519" s="125">
        <v>3326436</v>
      </c>
      <c r="G519" s="125">
        <v>3123351</v>
      </c>
      <c r="H519" s="125">
        <v>2695951</v>
      </c>
      <c r="I519" s="125">
        <v>1873137</v>
      </c>
      <c r="J519" s="125">
        <v>723557</v>
      </c>
      <c r="K519" s="125">
        <v>19447140</v>
      </c>
      <c r="L519" s="121"/>
    </row>
    <row r="520" spans="1:12" x14ac:dyDescent="0.2">
      <c r="A520" s="26" t="s">
        <v>210</v>
      </c>
      <c r="B520" s="125">
        <v>1012666</v>
      </c>
      <c r="C520" s="125">
        <v>1460269</v>
      </c>
      <c r="D520" s="125">
        <v>1698958</v>
      </c>
      <c r="E520" s="125">
        <v>3755439</v>
      </c>
      <c r="F520" s="125">
        <v>3406234</v>
      </c>
      <c r="G520" s="125">
        <v>3146066</v>
      </c>
      <c r="H520" s="125">
        <v>2750328</v>
      </c>
      <c r="I520" s="125">
        <v>1930998</v>
      </c>
      <c r="J520" s="125">
        <v>773010</v>
      </c>
      <c r="K520" s="125">
        <v>19933968</v>
      </c>
      <c r="L520" s="121"/>
    </row>
    <row r="521" spans="1:12" x14ac:dyDescent="0.2">
      <c r="A521" s="30" t="s">
        <v>222</v>
      </c>
      <c r="B521" s="133">
        <v>1055656.6006186111</v>
      </c>
      <c r="C521" s="133">
        <v>1516108.3993813889</v>
      </c>
      <c r="D521" s="133">
        <v>1764353</v>
      </c>
      <c r="E521" s="133">
        <v>3869517</v>
      </c>
      <c r="F521" s="133">
        <v>3519165</v>
      </c>
      <c r="G521" s="133">
        <v>3189018</v>
      </c>
      <c r="H521" s="133">
        <v>2788506</v>
      </c>
      <c r="I521" s="133">
        <v>1979247</v>
      </c>
      <c r="J521" s="133">
        <v>795619</v>
      </c>
      <c r="K521" s="133">
        <v>20477190</v>
      </c>
      <c r="L521" s="121"/>
    </row>
    <row r="522" spans="1:12" x14ac:dyDescent="0.2">
      <c r="A522" s="26" t="s">
        <v>18</v>
      </c>
    </row>
    <row r="523" spans="1:12" x14ac:dyDescent="0.2">
      <c r="A523" s="19" t="s">
        <v>214</v>
      </c>
    </row>
  </sheetData>
  <mergeCells count="18">
    <mergeCell ref="A353:A354"/>
    <mergeCell ref="B353:K353"/>
    <mergeCell ref="A411:A412"/>
    <mergeCell ref="B411:K411"/>
    <mergeCell ref="A469:A470"/>
    <mergeCell ref="B469:K469"/>
    <mergeCell ref="A178:A179"/>
    <mergeCell ref="B178:K178"/>
    <mergeCell ref="A237:A238"/>
    <mergeCell ref="B237:K237"/>
    <mergeCell ref="A295:A296"/>
    <mergeCell ref="B295:K295"/>
    <mergeCell ref="A3:A4"/>
    <mergeCell ref="B3:K3"/>
    <mergeCell ref="A62:A63"/>
    <mergeCell ref="B62:K62"/>
    <mergeCell ref="A120:A121"/>
    <mergeCell ref="B120:K120"/>
  </mergeCells>
  <pageMargins left="0.74803149606299213" right="0.74803149606299213" top="0.98425196850393704" bottom="0.98425196850393704" header="0.51181102362204722" footer="0.51181102362204722"/>
  <pageSetup paperSize="9" scale="80" orientation="landscape" r:id="rId1"/>
  <headerFooter alignWithMargins="0">
    <oddHeader>&amp;C&amp;"Calibri"&amp;14&amp;KFF0000 OFFICIAL&amp;1#_x000D_</oddHeader>
    <oddFooter>&amp;C_x000D_&amp;1#&amp;"Calibri"&amp;14&amp;KFF0000 OFFICIAL</oddFooter>
  </headerFooter>
  <rowBreaks count="7" manualBreakCount="7">
    <brk id="117" max="10" man="1"/>
    <brk id="174" max="10" man="1"/>
    <brk id="233" max="10" man="1"/>
    <brk id="291" max="10" man="1"/>
    <brk id="350" max="10" man="1"/>
    <brk id="407" max="10" man="1"/>
    <brk id="46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S507"/>
  <sheetViews>
    <sheetView topLeftCell="A102" zoomScaleNormal="100" workbookViewId="0">
      <selection activeCell="C113" sqref="C113"/>
    </sheetView>
  </sheetViews>
  <sheetFormatPr defaultColWidth="9.140625" defaultRowHeight="12.75" x14ac:dyDescent="0.2"/>
  <cols>
    <col min="1" max="1" width="15.85546875" style="29" customWidth="1"/>
    <col min="2" max="17" width="12.7109375" style="31" customWidth="1"/>
    <col min="18" max="16384" width="9.140625" style="31"/>
  </cols>
  <sheetData>
    <row r="1" spans="1:10" x14ac:dyDescent="0.2">
      <c r="A1" s="31"/>
    </row>
    <row r="2" spans="1:10" x14ac:dyDescent="0.2">
      <c r="A2" s="27" t="s">
        <v>288</v>
      </c>
      <c r="B2" s="92"/>
      <c r="C2" s="92"/>
      <c r="D2" s="92"/>
      <c r="E2" s="92"/>
      <c r="F2" s="92"/>
      <c r="G2" s="92"/>
      <c r="H2" s="92"/>
    </row>
    <row r="3" spans="1:10" x14ac:dyDescent="0.2">
      <c r="A3" s="210" t="s">
        <v>154</v>
      </c>
      <c r="D3" s="212" t="s">
        <v>169</v>
      </c>
      <c r="E3" s="212"/>
      <c r="F3" s="212"/>
      <c r="G3" s="212"/>
      <c r="H3" s="212"/>
    </row>
    <row r="4" spans="1:10" ht="25.5" x14ac:dyDescent="0.2">
      <c r="A4" s="211"/>
      <c r="B4" s="40" t="s">
        <v>170</v>
      </c>
      <c r="C4" s="40" t="s">
        <v>171</v>
      </c>
      <c r="D4" s="40" t="s">
        <v>172</v>
      </c>
      <c r="E4" s="40" t="s">
        <v>173</v>
      </c>
      <c r="F4" s="40" t="s">
        <v>174</v>
      </c>
      <c r="G4" s="40" t="s">
        <v>175</v>
      </c>
      <c r="H4" s="40" t="s">
        <v>176</v>
      </c>
    </row>
    <row r="5" spans="1:10" x14ac:dyDescent="0.2">
      <c r="A5" s="20" t="s">
        <v>177</v>
      </c>
      <c r="B5" s="93"/>
      <c r="C5" s="41"/>
      <c r="D5" s="41"/>
      <c r="E5" s="41"/>
      <c r="F5" s="41"/>
      <c r="G5" s="41"/>
      <c r="H5" s="41"/>
    </row>
    <row r="6" spans="1:10" x14ac:dyDescent="0.2">
      <c r="A6" s="34" t="s">
        <v>156</v>
      </c>
      <c r="B6" s="42">
        <v>3603544</v>
      </c>
      <c r="C6" s="42">
        <v>451630</v>
      </c>
      <c r="D6" s="42">
        <v>82835</v>
      </c>
      <c r="E6" s="42">
        <v>121937</v>
      </c>
      <c r="F6" s="42">
        <v>201164</v>
      </c>
      <c r="G6" s="42">
        <v>113554</v>
      </c>
      <c r="H6" s="42">
        <v>18960</v>
      </c>
      <c r="I6" s="42"/>
    </row>
    <row r="7" spans="1:10" x14ac:dyDescent="0.2">
      <c r="A7" s="34" t="s">
        <v>157</v>
      </c>
      <c r="B7" s="42">
        <v>3678933</v>
      </c>
      <c r="C7" s="42">
        <v>461252</v>
      </c>
      <c r="D7" s="42">
        <v>84913</v>
      </c>
      <c r="E7" s="42">
        <v>124294</v>
      </c>
      <c r="F7" s="42">
        <v>200038</v>
      </c>
      <c r="G7" s="42">
        <v>111704</v>
      </c>
      <c r="H7" s="42">
        <v>19978</v>
      </c>
      <c r="I7" s="42"/>
    </row>
    <row r="8" spans="1:10" x14ac:dyDescent="0.2">
      <c r="A8" s="34" t="s">
        <v>158</v>
      </c>
      <c r="B8" s="42">
        <v>3740524</v>
      </c>
      <c r="C8" s="42">
        <v>471975</v>
      </c>
      <c r="D8" s="42">
        <v>86022</v>
      </c>
      <c r="E8" s="42">
        <v>126495</v>
      </c>
      <c r="F8" s="42">
        <v>202116</v>
      </c>
      <c r="G8" s="42">
        <v>110908</v>
      </c>
      <c r="H8" s="42">
        <v>21054</v>
      </c>
      <c r="I8" s="42"/>
      <c r="J8" s="38"/>
    </row>
    <row r="9" spans="1:10" x14ac:dyDescent="0.2">
      <c r="A9" s="34" t="s">
        <v>159</v>
      </c>
      <c r="B9" s="42">
        <v>3810394</v>
      </c>
      <c r="C9" s="42">
        <v>483321</v>
      </c>
      <c r="D9" s="42">
        <v>89597</v>
      </c>
      <c r="E9" s="42">
        <v>127577</v>
      </c>
      <c r="F9" s="42">
        <v>200451</v>
      </c>
      <c r="G9" s="42">
        <v>108849</v>
      </c>
      <c r="H9" s="42">
        <v>22073</v>
      </c>
      <c r="I9" s="42"/>
      <c r="J9" s="115"/>
    </row>
    <row r="10" spans="1:10" x14ac:dyDescent="0.2">
      <c r="A10" s="34" t="s">
        <v>160</v>
      </c>
      <c r="B10" s="42">
        <v>3882176</v>
      </c>
      <c r="C10" s="42">
        <v>497469</v>
      </c>
      <c r="D10" s="42">
        <v>90810</v>
      </c>
      <c r="E10" s="42">
        <v>129138</v>
      </c>
      <c r="F10" s="42">
        <v>201400</v>
      </c>
      <c r="G10" s="42">
        <v>107581</v>
      </c>
      <c r="H10" s="42">
        <v>22959</v>
      </c>
      <c r="I10" s="42"/>
    </row>
    <row r="11" spans="1:10" x14ac:dyDescent="0.2">
      <c r="A11" s="34" t="s">
        <v>161</v>
      </c>
      <c r="B11" s="42">
        <v>3965904</v>
      </c>
      <c r="C11" s="42">
        <v>512932</v>
      </c>
      <c r="D11" s="42">
        <v>93057</v>
      </c>
      <c r="E11" s="42">
        <v>130642</v>
      </c>
      <c r="F11" s="42">
        <v>200719</v>
      </c>
      <c r="G11" s="42">
        <v>106026</v>
      </c>
      <c r="H11" s="42">
        <v>24099</v>
      </c>
      <c r="I11" s="42"/>
    </row>
    <row r="12" spans="1:10" x14ac:dyDescent="0.2">
      <c r="A12" s="34" t="s">
        <v>162</v>
      </c>
      <c r="B12" s="42">
        <v>4042712</v>
      </c>
      <c r="C12" s="42">
        <v>582998</v>
      </c>
      <c r="D12" s="42">
        <v>93461</v>
      </c>
      <c r="E12" s="42">
        <v>133276</v>
      </c>
      <c r="F12" s="42">
        <v>203002</v>
      </c>
      <c r="G12" s="42">
        <v>104923</v>
      </c>
      <c r="H12" s="42">
        <v>24994</v>
      </c>
      <c r="I12" s="42"/>
    </row>
    <row r="13" spans="1:10" x14ac:dyDescent="0.2">
      <c r="A13" s="34" t="s">
        <v>163</v>
      </c>
      <c r="B13" s="42">
        <v>4117891</v>
      </c>
      <c r="C13" s="42">
        <v>541893</v>
      </c>
      <c r="D13" s="42">
        <v>93068</v>
      </c>
      <c r="E13" s="42">
        <v>133293</v>
      </c>
      <c r="F13" s="42">
        <v>204539</v>
      </c>
      <c r="G13" s="42">
        <v>104461</v>
      </c>
      <c r="H13" s="42">
        <v>25962</v>
      </c>
      <c r="I13" s="42"/>
    </row>
    <row r="14" spans="1:10" x14ac:dyDescent="0.2">
      <c r="A14" s="34" t="s">
        <v>164</v>
      </c>
      <c r="B14" s="42">
        <v>4228469</v>
      </c>
      <c r="C14" s="42">
        <v>554339</v>
      </c>
      <c r="D14" s="42">
        <v>92293</v>
      </c>
      <c r="E14" s="42">
        <v>134539</v>
      </c>
      <c r="F14" s="42">
        <v>207266</v>
      </c>
      <c r="G14" s="42">
        <v>103651</v>
      </c>
      <c r="H14" s="42">
        <v>26859</v>
      </c>
    </row>
    <row r="15" spans="1:10" x14ac:dyDescent="0.2">
      <c r="A15" s="34" t="s">
        <v>165</v>
      </c>
      <c r="B15" s="42">
        <v>4333854</v>
      </c>
      <c r="C15" s="42">
        <v>566261</v>
      </c>
      <c r="D15" s="42">
        <v>92840</v>
      </c>
      <c r="E15" s="42">
        <v>135221</v>
      </c>
      <c r="F15" s="42">
        <v>209007</v>
      </c>
      <c r="G15" s="42">
        <v>102046</v>
      </c>
      <c r="H15" s="42">
        <v>27953</v>
      </c>
    </row>
    <row r="16" spans="1:10" x14ac:dyDescent="0.2">
      <c r="A16" s="34" t="s">
        <v>166</v>
      </c>
      <c r="B16" s="42">
        <v>4432380</v>
      </c>
      <c r="C16" s="42">
        <v>580584</v>
      </c>
      <c r="D16" s="42">
        <v>93797</v>
      </c>
      <c r="E16" s="42">
        <v>135099</v>
      </c>
      <c r="F16" s="42">
        <v>209270</v>
      </c>
      <c r="G16" s="42">
        <v>99779</v>
      </c>
      <c r="H16" s="42">
        <v>29315</v>
      </c>
    </row>
    <row r="17" spans="1:8" ht="13.5" thickBot="1" x14ac:dyDescent="0.25">
      <c r="A17" s="45" t="s">
        <v>168</v>
      </c>
      <c r="B17" s="95">
        <v>4513895</v>
      </c>
      <c r="C17" s="95">
        <v>589844</v>
      </c>
      <c r="D17" s="95">
        <v>93627</v>
      </c>
      <c r="E17" s="95">
        <v>133284</v>
      </c>
      <c r="F17" s="95">
        <v>206999</v>
      </c>
      <c r="G17" s="95">
        <v>96072</v>
      </c>
      <c r="H17" s="95">
        <v>30973</v>
      </c>
    </row>
    <row r="18" spans="1:8" ht="13.5" thickTop="1" x14ac:dyDescent="0.2">
      <c r="A18" s="34" t="s">
        <v>198</v>
      </c>
      <c r="B18" s="42">
        <v>4591755</v>
      </c>
      <c r="C18" s="42">
        <v>602134</v>
      </c>
      <c r="D18" s="42">
        <v>92080</v>
      </c>
      <c r="E18" s="42">
        <v>133073</v>
      </c>
      <c r="F18" s="42">
        <v>207184</v>
      </c>
      <c r="G18" s="42">
        <v>94476</v>
      </c>
      <c r="H18" s="42">
        <v>32747</v>
      </c>
    </row>
    <row r="19" spans="1:8" x14ac:dyDescent="0.2">
      <c r="A19" s="34" t="s">
        <v>196</v>
      </c>
      <c r="B19" s="42">
        <v>4661050</v>
      </c>
      <c r="C19" s="42">
        <v>611424</v>
      </c>
      <c r="D19" s="42">
        <v>90301</v>
      </c>
      <c r="E19" s="42">
        <v>133278</v>
      </c>
      <c r="F19" s="42">
        <v>209543</v>
      </c>
      <c r="G19" s="42">
        <v>93111</v>
      </c>
      <c r="H19" s="42">
        <v>33941</v>
      </c>
    </row>
    <row r="20" spans="1:8" x14ac:dyDescent="0.2">
      <c r="A20" s="34" t="s">
        <v>210</v>
      </c>
      <c r="B20" s="42">
        <v>4771298</v>
      </c>
      <c r="C20" s="42">
        <v>622153</v>
      </c>
      <c r="D20" s="42">
        <v>88322</v>
      </c>
      <c r="E20" s="42">
        <v>133280</v>
      </c>
      <c r="F20" s="42">
        <v>213256</v>
      </c>
      <c r="G20" s="42">
        <v>91507</v>
      </c>
      <c r="H20" s="42">
        <v>35435</v>
      </c>
    </row>
    <row r="21" spans="1:8" x14ac:dyDescent="0.2">
      <c r="A21" s="34" t="s">
        <v>222</v>
      </c>
      <c r="B21" s="47">
        <v>4876928</v>
      </c>
      <c r="C21" s="42">
        <v>631709</v>
      </c>
      <c r="D21" s="42">
        <v>86610</v>
      </c>
      <c r="E21" s="42">
        <v>132414</v>
      </c>
      <c r="F21" s="42">
        <v>214873</v>
      </c>
      <c r="G21" s="42">
        <v>89215</v>
      </c>
      <c r="H21" s="42">
        <v>36812</v>
      </c>
    </row>
    <row r="22" spans="1:8" x14ac:dyDescent="0.2">
      <c r="A22" s="21" t="s">
        <v>178</v>
      </c>
      <c r="B22" s="42"/>
      <c r="C22" s="42"/>
      <c r="D22" s="42"/>
      <c r="E22" s="42"/>
      <c r="F22" s="42"/>
      <c r="G22" s="42"/>
      <c r="H22" s="42"/>
    </row>
    <row r="23" spans="1:8" x14ac:dyDescent="0.2">
      <c r="A23" s="34" t="s">
        <v>156</v>
      </c>
      <c r="B23" s="42">
        <v>393815</v>
      </c>
      <c r="C23" s="42">
        <v>18264</v>
      </c>
      <c r="D23" s="42">
        <v>112</v>
      </c>
      <c r="E23" s="42">
        <v>1111</v>
      </c>
      <c r="F23" s="42">
        <v>616</v>
      </c>
      <c r="G23" s="42"/>
      <c r="H23" s="42"/>
    </row>
    <row r="24" spans="1:8" x14ac:dyDescent="0.2">
      <c r="A24" s="34" t="s">
        <v>157</v>
      </c>
      <c r="B24" s="42">
        <v>400474</v>
      </c>
      <c r="C24" s="42">
        <v>22400</v>
      </c>
      <c r="D24" s="42">
        <v>145</v>
      </c>
      <c r="E24" s="42">
        <v>1162</v>
      </c>
      <c r="F24" s="42">
        <v>712</v>
      </c>
      <c r="G24" s="42"/>
      <c r="H24" s="42"/>
    </row>
    <row r="25" spans="1:8" x14ac:dyDescent="0.2">
      <c r="A25" s="34" t="s">
        <v>158</v>
      </c>
      <c r="B25" s="42">
        <v>410282</v>
      </c>
      <c r="C25" s="42">
        <v>25568</v>
      </c>
      <c r="D25" s="42">
        <v>164</v>
      </c>
      <c r="E25" s="42">
        <v>1184</v>
      </c>
      <c r="F25" s="42">
        <v>776</v>
      </c>
      <c r="G25" s="42"/>
      <c r="H25" s="42"/>
    </row>
    <row r="26" spans="1:8" x14ac:dyDescent="0.2">
      <c r="A26" s="34" t="s">
        <v>159</v>
      </c>
      <c r="B26" s="42">
        <v>418195</v>
      </c>
      <c r="C26" s="42">
        <v>28600</v>
      </c>
      <c r="D26" s="42">
        <v>160</v>
      </c>
      <c r="E26" s="42">
        <v>1174</v>
      </c>
      <c r="F26" s="42">
        <v>868</v>
      </c>
      <c r="G26" s="42"/>
      <c r="H26" s="42"/>
    </row>
    <row r="27" spans="1:8" x14ac:dyDescent="0.2">
      <c r="A27" s="34" t="s">
        <v>160</v>
      </c>
      <c r="B27" s="42">
        <v>422097</v>
      </c>
      <c r="C27" s="42">
        <v>29563</v>
      </c>
      <c r="D27" s="42">
        <v>140</v>
      </c>
      <c r="E27" s="42">
        <v>1105</v>
      </c>
      <c r="F27" s="42">
        <v>867</v>
      </c>
    </row>
    <row r="28" spans="1:8" x14ac:dyDescent="0.2">
      <c r="A28" s="34" t="s">
        <v>161</v>
      </c>
      <c r="B28" s="42">
        <v>438304</v>
      </c>
      <c r="C28" s="42">
        <v>30256</v>
      </c>
      <c r="D28" s="42">
        <v>128</v>
      </c>
      <c r="E28" s="42">
        <v>1165</v>
      </c>
      <c r="F28" s="42">
        <v>991</v>
      </c>
      <c r="G28" s="42"/>
      <c r="H28" s="42"/>
    </row>
    <row r="29" spans="1:8" x14ac:dyDescent="0.2">
      <c r="A29" s="34" t="s">
        <v>162</v>
      </c>
      <c r="B29" s="42">
        <v>451903</v>
      </c>
      <c r="C29" s="42">
        <v>29635</v>
      </c>
      <c r="D29" s="42">
        <v>118</v>
      </c>
      <c r="E29" s="42">
        <v>1175</v>
      </c>
      <c r="F29" s="42">
        <v>1007</v>
      </c>
      <c r="G29" s="42"/>
      <c r="H29" s="42"/>
    </row>
    <row r="30" spans="1:8" x14ac:dyDescent="0.2">
      <c r="A30" s="34" t="s">
        <v>163</v>
      </c>
      <c r="B30" s="42">
        <v>465831</v>
      </c>
      <c r="C30" s="42">
        <v>29323</v>
      </c>
      <c r="D30" s="42">
        <v>135</v>
      </c>
      <c r="E30" s="42">
        <v>1207</v>
      </c>
      <c r="F30" s="42">
        <v>1164</v>
      </c>
      <c r="G30" s="42"/>
      <c r="H30" s="42"/>
    </row>
    <row r="31" spans="1:8" x14ac:dyDescent="0.2">
      <c r="A31" s="34" t="s">
        <v>164</v>
      </c>
      <c r="B31" s="42">
        <v>430895</v>
      </c>
      <c r="C31" s="42">
        <v>28232</v>
      </c>
      <c r="D31" s="42">
        <v>120</v>
      </c>
      <c r="E31" s="42">
        <v>1074</v>
      </c>
      <c r="F31" s="42">
        <v>1017</v>
      </c>
      <c r="G31" s="42"/>
      <c r="H31" s="42"/>
    </row>
    <row r="32" spans="1:8" x14ac:dyDescent="0.2">
      <c r="A32" s="34" t="s">
        <v>165</v>
      </c>
      <c r="B32" s="42">
        <v>391179</v>
      </c>
      <c r="C32" s="42">
        <v>28447</v>
      </c>
      <c r="D32" s="42">
        <v>81</v>
      </c>
      <c r="E32" s="42">
        <v>881</v>
      </c>
      <c r="F32" s="42">
        <v>850</v>
      </c>
      <c r="G32" s="42"/>
      <c r="H32" s="42"/>
    </row>
    <row r="33" spans="1:8" x14ac:dyDescent="0.2">
      <c r="A33" s="34" t="s">
        <v>166</v>
      </c>
      <c r="B33" s="42">
        <v>356301</v>
      </c>
      <c r="C33" s="42">
        <v>29007</v>
      </c>
      <c r="D33" s="42">
        <v>66</v>
      </c>
      <c r="E33" s="42">
        <v>746</v>
      </c>
      <c r="F33" s="42">
        <v>737</v>
      </c>
      <c r="G33" s="42"/>
      <c r="H33" s="42"/>
    </row>
    <row r="34" spans="1:8" ht="13.5" thickBot="1" x14ac:dyDescent="0.25">
      <c r="A34" s="45" t="s">
        <v>168</v>
      </c>
      <c r="B34" s="95">
        <v>372763</v>
      </c>
      <c r="C34" s="95">
        <v>31229</v>
      </c>
      <c r="D34" s="95">
        <v>67</v>
      </c>
      <c r="E34" s="95">
        <v>783</v>
      </c>
      <c r="F34" s="95">
        <v>783</v>
      </c>
      <c r="G34" s="42"/>
      <c r="H34" s="42"/>
    </row>
    <row r="35" spans="1:8" ht="13.5" thickTop="1" x14ac:dyDescent="0.2">
      <c r="A35" s="34" t="s">
        <v>198</v>
      </c>
      <c r="B35" s="42">
        <v>360447</v>
      </c>
      <c r="C35" s="42">
        <v>30624</v>
      </c>
      <c r="D35" s="42">
        <v>46</v>
      </c>
      <c r="E35" s="42">
        <v>716</v>
      </c>
      <c r="F35" s="42">
        <v>701</v>
      </c>
    </row>
    <row r="36" spans="1:8" x14ac:dyDescent="0.2">
      <c r="A36" s="34" t="s">
        <v>196</v>
      </c>
      <c r="B36" s="42">
        <v>377001</v>
      </c>
      <c r="C36" s="42">
        <v>29749</v>
      </c>
      <c r="D36" s="31">
        <v>48</v>
      </c>
      <c r="E36" s="31">
        <v>838</v>
      </c>
      <c r="F36" s="31">
        <v>928</v>
      </c>
    </row>
    <row r="37" spans="1:8" x14ac:dyDescent="0.2">
      <c r="A37" s="34" t="s">
        <v>210</v>
      </c>
      <c r="B37" s="42">
        <v>377403</v>
      </c>
      <c r="C37" s="42">
        <v>30381</v>
      </c>
      <c r="D37" s="31">
        <v>58</v>
      </c>
      <c r="E37" s="31">
        <v>906</v>
      </c>
      <c r="F37" s="31">
        <v>969</v>
      </c>
    </row>
    <row r="38" spans="1:8" x14ac:dyDescent="0.2">
      <c r="A38" s="34" t="s">
        <v>222</v>
      </c>
      <c r="B38" s="47">
        <v>392014</v>
      </c>
      <c r="C38" s="42">
        <v>31365</v>
      </c>
      <c r="D38" s="31">
        <v>56</v>
      </c>
      <c r="E38" s="31">
        <v>961</v>
      </c>
      <c r="F38" s="31">
        <v>1134</v>
      </c>
    </row>
    <row r="39" spans="1:8" x14ac:dyDescent="0.2">
      <c r="A39" s="21" t="s">
        <v>179</v>
      </c>
      <c r="B39" s="42"/>
      <c r="C39" s="42"/>
      <c r="D39" s="42"/>
      <c r="E39" s="42"/>
      <c r="F39" s="42"/>
      <c r="G39" s="42"/>
      <c r="H39" s="42"/>
    </row>
    <row r="40" spans="1:8" x14ac:dyDescent="0.2">
      <c r="A40" s="34" t="s">
        <v>156</v>
      </c>
      <c r="B40" s="42">
        <v>251377</v>
      </c>
      <c r="C40" s="42">
        <v>26355</v>
      </c>
      <c r="D40" s="42"/>
      <c r="E40" s="42"/>
      <c r="F40" s="42"/>
      <c r="G40" s="42"/>
      <c r="H40" s="42"/>
    </row>
    <row r="41" spans="1:8" x14ac:dyDescent="0.2">
      <c r="A41" s="34" t="s">
        <v>157</v>
      </c>
      <c r="B41" s="42">
        <v>270010</v>
      </c>
      <c r="C41" s="42">
        <v>25460</v>
      </c>
      <c r="D41" s="42"/>
      <c r="E41" s="42"/>
      <c r="F41" s="42"/>
      <c r="G41" s="42"/>
      <c r="H41" s="42"/>
    </row>
    <row r="42" spans="1:8" x14ac:dyDescent="0.2">
      <c r="A42" s="34" t="s">
        <v>158</v>
      </c>
      <c r="B42" s="42">
        <v>284370</v>
      </c>
      <c r="C42" s="42">
        <v>27459</v>
      </c>
      <c r="D42" s="42"/>
      <c r="E42" s="42"/>
      <c r="F42" s="42"/>
      <c r="G42" s="42"/>
      <c r="H42" s="42"/>
    </row>
    <row r="43" spans="1:8" x14ac:dyDescent="0.2">
      <c r="A43" s="34" t="s">
        <v>159</v>
      </c>
      <c r="B43" s="42">
        <v>280321</v>
      </c>
      <c r="C43" s="42">
        <v>28079</v>
      </c>
      <c r="D43" s="42"/>
      <c r="E43" s="42"/>
      <c r="F43" s="42"/>
      <c r="G43" s="42"/>
      <c r="H43" s="42"/>
    </row>
    <row r="44" spans="1:8" x14ac:dyDescent="0.2">
      <c r="A44" s="34" t="s">
        <v>160</v>
      </c>
      <c r="B44" s="42">
        <v>282832</v>
      </c>
      <c r="C44" s="42">
        <v>27552</v>
      </c>
      <c r="D44" s="42"/>
      <c r="E44" s="42"/>
      <c r="F44" s="42"/>
      <c r="G44" s="42"/>
      <c r="H44" s="42"/>
    </row>
    <row r="45" spans="1:8" x14ac:dyDescent="0.2">
      <c r="A45" s="34" t="s">
        <v>161</v>
      </c>
      <c r="B45" s="42">
        <v>283601</v>
      </c>
      <c r="C45" s="42">
        <v>26120</v>
      </c>
    </row>
    <row r="46" spans="1:8" x14ac:dyDescent="0.2">
      <c r="A46" s="34" t="s">
        <v>162</v>
      </c>
      <c r="B46" s="42">
        <v>282462</v>
      </c>
      <c r="C46" s="42">
        <v>25886</v>
      </c>
      <c r="D46" s="42"/>
      <c r="E46" s="42"/>
      <c r="F46" s="42"/>
      <c r="G46" s="42"/>
      <c r="H46" s="42"/>
    </row>
    <row r="47" spans="1:8" x14ac:dyDescent="0.2">
      <c r="A47" s="34" t="s">
        <v>163</v>
      </c>
      <c r="B47" s="42">
        <v>290987</v>
      </c>
      <c r="C47" s="42">
        <v>25910</v>
      </c>
      <c r="D47" s="42"/>
      <c r="E47" s="42"/>
      <c r="F47" s="42"/>
      <c r="G47" s="42"/>
      <c r="H47" s="42"/>
    </row>
    <row r="48" spans="1:8" x14ac:dyDescent="0.2">
      <c r="A48" s="34" t="s">
        <v>164</v>
      </c>
      <c r="B48" s="42">
        <v>301177</v>
      </c>
      <c r="C48" s="42">
        <v>25296</v>
      </c>
      <c r="D48" s="42"/>
      <c r="E48" s="42"/>
      <c r="F48" s="42"/>
      <c r="G48" s="42"/>
      <c r="H48" s="42"/>
    </row>
    <row r="49" spans="1:13" x14ac:dyDescent="0.2">
      <c r="A49" s="34" t="s">
        <v>165</v>
      </c>
      <c r="B49" s="42">
        <v>306608</v>
      </c>
      <c r="C49" s="42">
        <v>26055</v>
      </c>
      <c r="D49" s="42"/>
      <c r="E49" s="42"/>
      <c r="F49" s="42"/>
      <c r="G49" s="42"/>
      <c r="H49" s="42"/>
    </row>
    <row r="50" spans="1:13" x14ac:dyDescent="0.2">
      <c r="A50" s="34" t="s">
        <v>166</v>
      </c>
      <c r="B50" s="42">
        <v>325196</v>
      </c>
      <c r="C50" s="42">
        <v>27334</v>
      </c>
      <c r="D50" s="42"/>
      <c r="E50" s="42"/>
      <c r="F50" s="42"/>
      <c r="G50" s="42"/>
      <c r="H50" s="42"/>
    </row>
    <row r="51" spans="1:13" ht="13.5" thickBot="1" x14ac:dyDescent="0.25">
      <c r="A51" s="45" t="s">
        <v>168</v>
      </c>
      <c r="B51" s="95">
        <v>320676</v>
      </c>
      <c r="C51" s="95">
        <v>31364</v>
      </c>
      <c r="D51" s="42"/>
      <c r="E51" s="42"/>
      <c r="F51" s="42"/>
      <c r="G51" s="42"/>
      <c r="H51" s="42"/>
    </row>
    <row r="52" spans="1:13" ht="13.5" thickTop="1" x14ac:dyDescent="0.2">
      <c r="A52" s="34" t="s">
        <v>198</v>
      </c>
      <c r="B52" s="42">
        <v>327623</v>
      </c>
      <c r="C52" s="42">
        <v>26125</v>
      </c>
      <c r="D52" s="42"/>
      <c r="E52" s="42"/>
      <c r="F52" s="42"/>
      <c r="G52" s="42"/>
      <c r="H52" s="42"/>
    </row>
    <row r="53" spans="1:13" x14ac:dyDescent="0.2">
      <c r="A53" s="34" t="s">
        <v>196</v>
      </c>
      <c r="B53" s="42">
        <v>330637</v>
      </c>
      <c r="C53" s="42">
        <v>26081</v>
      </c>
      <c r="D53" s="38"/>
      <c r="E53" s="38"/>
      <c r="F53" s="97"/>
    </row>
    <row r="54" spans="1:13" x14ac:dyDescent="0.2">
      <c r="A54" s="34" t="s">
        <v>210</v>
      </c>
      <c r="B54" s="42">
        <v>341622</v>
      </c>
      <c r="C54" s="42">
        <v>26293</v>
      </c>
      <c r="D54" s="38"/>
      <c r="E54" s="38"/>
      <c r="F54" s="97"/>
    </row>
    <row r="55" spans="1:13" x14ac:dyDescent="0.2">
      <c r="A55" s="43" t="s">
        <v>222</v>
      </c>
      <c r="B55" s="155">
        <v>391205</v>
      </c>
      <c r="C55" s="44">
        <v>27327</v>
      </c>
      <c r="D55" s="96"/>
      <c r="E55" s="96"/>
      <c r="F55" s="116"/>
      <c r="G55" s="92"/>
    </row>
    <row r="56" spans="1:13" s="34" customFormat="1" x14ac:dyDescent="0.2">
      <c r="A56" s="34" t="s">
        <v>18</v>
      </c>
      <c r="I56" s="31"/>
      <c r="J56" s="31"/>
      <c r="K56" s="31"/>
      <c r="L56" s="31"/>
      <c r="M56" s="31"/>
    </row>
    <row r="57" spans="1:13" x14ac:dyDescent="0.2">
      <c r="A57" s="31" t="s">
        <v>215</v>
      </c>
      <c r="B57" s="97"/>
      <c r="D57" s="97"/>
      <c r="E57" s="97"/>
      <c r="F57" s="97"/>
      <c r="G57" s="38"/>
      <c r="H57" s="38"/>
    </row>
    <row r="58" spans="1:13" x14ac:dyDescent="0.2">
      <c r="A58" s="31" t="s">
        <v>396</v>
      </c>
      <c r="B58" s="97"/>
      <c r="D58" s="97"/>
      <c r="E58" s="97"/>
      <c r="F58" s="97"/>
      <c r="G58" s="38"/>
      <c r="H58" s="38"/>
    </row>
    <row r="59" spans="1:13" x14ac:dyDescent="0.2">
      <c r="A59" s="19" t="s">
        <v>395</v>
      </c>
      <c r="B59" s="97"/>
      <c r="C59" s="97"/>
      <c r="D59" s="97"/>
      <c r="E59" s="97"/>
      <c r="F59" s="97"/>
      <c r="G59" s="38"/>
      <c r="H59" s="38"/>
    </row>
    <row r="60" spans="1:13" x14ac:dyDescent="0.2">
      <c r="A60" s="21" t="s">
        <v>211</v>
      </c>
      <c r="B60" s="97"/>
      <c r="C60" s="97"/>
      <c r="D60" s="97"/>
      <c r="E60" s="97"/>
      <c r="F60" s="97"/>
      <c r="G60" s="38"/>
      <c r="H60" s="38"/>
    </row>
    <row r="61" spans="1:13" x14ac:dyDescent="0.2">
      <c r="A61" s="31"/>
      <c r="B61" s="97"/>
      <c r="D61" s="97"/>
      <c r="E61" s="97"/>
      <c r="F61" s="97"/>
      <c r="G61" s="38"/>
      <c r="H61" s="38"/>
    </row>
    <row r="62" spans="1:13" x14ac:dyDescent="0.2">
      <c r="A62" s="31"/>
      <c r="B62" s="97"/>
      <c r="C62" s="97"/>
      <c r="D62" s="97"/>
      <c r="E62" s="97"/>
      <c r="F62" s="97"/>
      <c r="G62" s="97"/>
      <c r="H62" s="97"/>
    </row>
    <row r="63" spans="1:13" x14ac:dyDescent="0.2">
      <c r="A63" s="29" t="s">
        <v>274</v>
      </c>
      <c r="B63" s="92"/>
      <c r="C63" s="92"/>
      <c r="D63" s="92"/>
      <c r="E63" s="92"/>
      <c r="F63" s="92"/>
      <c r="G63" s="92"/>
      <c r="H63" s="92"/>
    </row>
    <row r="64" spans="1:13" x14ac:dyDescent="0.2">
      <c r="A64" s="210" t="s">
        <v>154</v>
      </c>
      <c r="D64" s="212" t="s">
        <v>169</v>
      </c>
      <c r="E64" s="212"/>
      <c r="F64" s="212"/>
      <c r="G64" s="212"/>
      <c r="H64" s="212"/>
    </row>
    <row r="65" spans="1:8" ht="38.25" x14ac:dyDescent="0.2">
      <c r="A65" s="211"/>
      <c r="B65" s="40" t="s">
        <v>304</v>
      </c>
      <c r="C65" s="40" t="s">
        <v>171</v>
      </c>
      <c r="D65" s="40" t="s">
        <v>172</v>
      </c>
      <c r="E65" s="40" t="s">
        <v>173</v>
      </c>
      <c r="F65" s="40" t="s">
        <v>174</v>
      </c>
      <c r="G65" s="40" t="s">
        <v>175</v>
      </c>
      <c r="H65" s="40" t="s">
        <v>176</v>
      </c>
    </row>
    <row r="66" spans="1:8" x14ac:dyDescent="0.2">
      <c r="A66" s="20" t="s">
        <v>177</v>
      </c>
      <c r="B66" s="93"/>
      <c r="C66" s="41"/>
      <c r="D66" s="41"/>
      <c r="E66" s="41"/>
      <c r="F66" s="41"/>
      <c r="G66" s="41"/>
      <c r="H66" s="41"/>
    </row>
    <row r="67" spans="1:8" x14ac:dyDescent="0.2">
      <c r="A67" s="34" t="s">
        <v>156</v>
      </c>
      <c r="B67" s="42">
        <v>3080222</v>
      </c>
      <c r="C67" s="42">
        <v>321289</v>
      </c>
      <c r="D67" s="42">
        <v>28575</v>
      </c>
      <c r="E67" s="42">
        <v>85073</v>
      </c>
      <c r="F67" s="42">
        <v>159569</v>
      </c>
      <c r="G67" s="42">
        <v>134079</v>
      </c>
      <c r="H67" s="42">
        <v>20234</v>
      </c>
    </row>
    <row r="68" spans="1:8" x14ac:dyDescent="0.2">
      <c r="A68" s="34" t="s">
        <v>157</v>
      </c>
      <c r="B68" s="42">
        <v>3149341</v>
      </c>
      <c r="C68" s="42">
        <v>333286</v>
      </c>
      <c r="D68" s="42">
        <v>29805</v>
      </c>
      <c r="E68" s="42">
        <v>87926</v>
      </c>
      <c r="F68" s="42">
        <v>163805</v>
      </c>
      <c r="G68" s="42">
        <v>133691</v>
      </c>
      <c r="H68" s="42">
        <v>21443</v>
      </c>
    </row>
    <row r="69" spans="1:8" x14ac:dyDescent="0.2">
      <c r="A69" s="34" t="s">
        <v>158</v>
      </c>
      <c r="B69" s="42">
        <v>3152367</v>
      </c>
      <c r="C69" s="42">
        <v>343439</v>
      </c>
      <c r="D69" s="42">
        <v>31393</v>
      </c>
      <c r="E69" s="42">
        <v>89818</v>
      </c>
      <c r="F69" s="42">
        <v>168585</v>
      </c>
      <c r="G69" s="42">
        <v>132852</v>
      </c>
      <c r="H69" s="42">
        <v>23011</v>
      </c>
    </row>
    <row r="70" spans="1:8" x14ac:dyDescent="0.2">
      <c r="A70" s="34" t="s">
        <v>159</v>
      </c>
      <c r="B70" s="42">
        <v>3201361</v>
      </c>
      <c r="C70" s="42">
        <v>355194</v>
      </c>
      <c r="D70" s="42">
        <v>33249</v>
      </c>
      <c r="E70" s="42">
        <v>91344</v>
      </c>
      <c r="F70" s="42">
        <v>171765</v>
      </c>
      <c r="G70" s="42">
        <v>131558</v>
      </c>
      <c r="H70" s="42">
        <v>24763</v>
      </c>
    </row>
    <row r="71" spans="1:8" x14ac:dyDescent="0.2">
      <c r="A71" s="34" t="s">
        <v>160</v>
      </c>
      <c r="B71" s="42">
        <v>3262610</v>
      </c>
      <c r="C71" s="42">
        <v>367222</v>
      </c>
      <c r="D71" s="42">
        <v>35270</v>
      </c>
      <c r="E71" s="42">
        <v>92525</v>
      </c>
      <c r="F71" s="42">
        <v>173629</v>
      </c>
      <c r="G71" s="42">
        <v>129679</v>
      </c>
      <c r="H71" s="42">
        <v>26134</v>
      </c>
    </row>
    <row r="72" spans="1:8" x14ac:dyDescent="0.2">
      <c r="A72" s="34" t="s">
        <v>161</v>
      </c>
      <c r="B72" s="42">
        <v>3322723</v>
      </c>
      <c r="C72" s="42">
        <v>380241</v>
      </c>
      <c r="D72" s="42">
        <v>38566</v>
      </c>
      <c r="E72" s="42">
        <v>93409</v>
      </c>
      <c r="F72" s="42">
        <v>176151</v>
      </c>
      <c r="G72" s="42">
        <v>127679</v>
      </c>
      <c r="H72" s="42">
        <v>27508</v>
      </c>
    </row>
    <row r="73" spans="1:8" x14ac:dyDescent="0.2">
      <c r="A73" s="34" t="s">
        <v>162</v>
      </c>
      <c r="B73" s="42">
        <v>3397897</v>
      </c>
      <c r="C73" s="42">
        <v>394801</v>
      </c>
      <c r="D73" s="42">
        <v>40392</v>
      </c>
      <c r="E73" s="42">
        <v>94523</v>
      </c>
      <c r="F73" s="42">
        <v>179861</v>
      </c>
      <c r="G73" s="42">
        <v>126641</v>
      </c>
      <c r="H73" s="42">
        <v>28717</v>
      </c>
    </row>
    <row r="74" spans="1:8" x14ac:dyDescent="0.2">
      <c r="A74" s="34" t="s">
        <v>163</v>
      </c>
      <c r="B74" s="42">
        <v>3474078</v>
      </c>
      <c r="C74" s="42">
        <v>404069</v>
      </c>
      <c r="D74" s="42">
        <v>41696</v>
      </c>
      <c r="E74" s="42">
        <v>95735</v>
      </c>
      <c r="F74" s="42">
        <v>184005</v>
      </c>
      <c r="G74" s="42">
        <v>126197</v>
      </c>
      <c r="H74" s="42">
        <v>29960</v>
      </c>
    </row>
    <row r="75" spans="1:8" x14ac:dyDescent="0.2">
      <c r="A75" s="34" t="s">
        <v>164</v>
      </c>
      <c r="B75" s="42">
        <v>3552902</v>
      </c>
      <c r="C75" s="42">
        <v>411487</v>
      </c>
      <c r="D75" s="42">
        <v>42315</v>
      </c>
      <c r="E75" s="42">
        <v>97216</v>
      </c>
      <c r="F75" s="42">
        <v>188949</v>
      </c>
      <c r="G75" s="42">
        <v>126541</v>
      </c>
      <c r="H75" s="42">
        <v>31397</v>
      </c>
    </row>
    <row r="76" spans="1:8" x14ac:dyDescent="0.2">
      <c r="A76" s="34" t="s">
        <v>165</v>
      </c>
      <c r="B76" s="42">
        <v>3626919</v>
      </c>
      <c r="C76" s="42">
        <v>418633</v>
      </c>
      <c r="D76" s="42">
        <v>42705</v>
      </c>
      <c r="E76" s="42">
        <v>98776</v>
      </c>
      <c r="F76" s="42">
        <v>194249</v>
      </c>
      <c r="G76" s="42">
        <v>126712</v>
      </c>
      <c r="H76" s="42">
        <v>32684</v>
      </c>
    </row>
    <row r="77" spans="1:8" x14ac:dyDescent="0.2">
      <c r="A77" s="34" t="s">
        <v>166</v>
      </c>
      <c r="B77" s="42">
        <v>3704917</v>
      </c>
      <c r="C77" s="42">
        <v>425943</v>
      </c>
      <c r="D77" s="42">
        <v>43139</v>
      </c>
      <c r="E77" s="42">
        <v>99960</v>
      </c>
      <c r="F77" s="42">
        <v>198799</v>
      </c>
      <c r="G77" s="42">
        <v>127108</v>
      </c>
      <c r="H77" s="42">
        <v>34131</v>
      </c>
    </row>
    <row r="78" spans="1:8" x14ac:dyDescent="0.2">
      <c r="A78" s="34" t="s">
        <v>168</v>
      </c>
      <c r="B78" s="42">
        <v>3765289</v>
      </c>
      <c r="C78" s="42">
        <v>428487</v>
      </c>
      <c r="D78" s="42">
        <v>43309</v>
      </c>
      <c r="E78" s="42">
        <v>100371</v>
      </c>
      <c r="F78" s="42">
        <v>202073</v>
      </c>
      <c r="G78" s="42">
        <v>126895</v>
      </c>
      <c r="H78" s="42">
        <v>35737</v>
      </c>
    </row>
    <row r="79" spans="1:8" x14ac:dyDescent="0.2">
      <c r="A79" s="34" t="s">
        <v>195</v>
      </c>
      <c r="B79" s="42">
        <v>3812079</v>
      </c>
      <c r="C79" s="42">
        <v>433368</v>
      </c>
      <c r="D79" s="42">
        <v>44042</v>
      </c>
      <c r="E79" s="42">
        <v>100744</v>
      </c>
      <c r="F79" s="42">
        <v>204585</v>
      </c>
      <c r="G79" s="42">
        <v>125980</v>
      </c>
      <c r="H79" s="42">
        <v>37105</v>
      </c>
    </row>
    <row r="80" spans="1:8" x14ac:dyDescent="0.2">
      <c r="A80" s="26" t="s">
        <v>196</v>
      </c>
      <c r="B80" s="42">
        <v>3888320</v>
      </c>
      <c r="C80" s="42">
        <v>440782</v>
      </c>
      <c r="D80" s="42">
        <v>44991</v>
      </c>
      <c r="E80" s="42">
        <v>101469</v>
      </c>
      <c r="F80" s="42">
        <v>209648</v>
      </c>
      <c r="G80" s="42">
        <v>125379</v>
      </c>
      <c r="H80" s="42">
        <v>39158</v>
      </c>
    </row>
    <row r="81" spans="1:8" x14ac:dyDescent="0.2">
      <c r="A81" s="26" t="s">
        <v>210</v>
      </c>
      <c r="B81" s="42">
        <v>3981806</v>
      </c>
      <c r="C81" s="42">
        <v>448158</v>
      </c>
      <c r="D81" s="42">
        <v>46014</v>
      </c>
      <c r="E81" s="42">
        <v>102121</v>
      </c>
      <c r="F81" s="42">
        <v>215814</v>
      </c>
      <c r="G81" s="42">
        <v>124953</v>
      </c>
      <c r="H81" s="42">
        <v>41251</v>
      </c>
    </row>
    <row r="82" spans="1:8" x14ac:dyDescent="0.2">
      <c r="A82" s="43" t="s">
        <v>222</v>
      </c>
      <c r="B82" s="42">
        <v>4093484</v>
      </c>
      <c r="C82" s="42">
        <v>456197</v>
      </c>
      <c r="D82" s="42">
        <v>46681</v>
      </c>
      <c r="E82" s="42">
        <v>102633</v>
      </c>
      <c r="F82" s="42">
        <v>220333</v>
      </c>
      <c r="G82" s="42">
        <v>123786</v>
      </c>
      <c r="H82" s="42">
        <v>43749</v>
      </c>
    </row>
    <row r="83" spans="1:8" x14ac:dyDescent="0.2">
      <c r="A83" s="21" t="s">
        <v>178</v>
      </c>
      <c r="B83" s="42"/>
      <c r="C83" s="42"/>
      <c r="D83" s="42"/>
      <c r="E83" s="42"/>
      <c r="F83" s="42"/>
      <c r="G83" s="42"/>
      <c r="H83" s="42"/>
    </row>
    <row r="84" spans="1:8" x14ac:dyDescent="0.2">
      <c r="A84" s="34" t="s">
        <v>156</v>
      </c>
      <c r="B84" s="42">
        <v>207895</v>
      </c>
      <c r="C84" s="42">
        <v>3233</v>
      </c>
      <c r="D84" s="42">
        <v>51</v>
      </c>
      <c r="E84" s="42">
        <v>734</v>
      </c>
      <c r="F84" s="42">
        <v>304</v>
      </c>
      <c r="G84" s="42">
        <v>62</v>
      </c>
      <c r="H84" s="42">
        <v>9</v>
      </c>
    </row>
    <row r="85" spans="1:8" x14ac:dyDescent="0.2">
      <c r="A85" s="34" t="s">
        <v>157</v>
      </c>
      <c r="B85" s="42">
        <v>201678</v>
      </c>
      <c r="C85" s="42">
        <v>3388</v>
      </c>
      <c r="D85" s="42">
        <v>33</v>
      </c>
      <c r="E85" s="42">
        <v>668</v>
      </c>
      <c r="F85" s="42">
        <v>328</v>
      </c>
      <c r="G85" s="42">
        <v>56</v>
      </c>
      <c r="H85" s="42">
        <v>5</v>
      </c>
    </row>
    <row r="86" spans="1:8" x14ac:dyDescent="0.2">
      <c r="A86" s="34" t="s">
        <v>158</v>
      </c>
      <c r="B86" s="42">
        <v>259188</v>
      </c>
      <c r="C86" s="42">
        <v>5169</v>
      </c>
      <c r="D86" s="42">
        <v>60</v>
      </c>
      <c r="E86" s="42">
        <v>1114</v>
      </c>
      <c r="F86" s="42">
        <v>859</v>
      </c>
      <c r="G86" s="42">
        <v>159</v>
      </c>
      <c r="H86" s="42">
        <v>15</v>
      </c>
    </row>
    <row r="87" spans="1:8" x14ac:dyDescent="0.2">
      <c r="A87" s="34" t="s">
        <v>159</v>
      </c>
      <c r="B87" s="42">
        <v>276379</v>
      </c>
      <c r="C87" s="42">
        <v>5689</v>
      </c>
      <c r="D87" s="42">
        <v>51</v>
      </c>
      <c r="E87" s="42">
        <v>1343</v>
      </c>
      <c r="F87" s="42">
        <v>1066</v>
      </c>
      <c r="G87" s="42">
        <v>182</v>
      </c>
      <c r="H87" s="42">
        <v>36</v>
      </c>
    </row>
    <row r="88" spans="1:8" x14ac:dyDescent="0.2">
      <c r="A88" s="34" t="s">
        <v>160</v>
      </c>
      <c r="B88" s="42">
        <v>286231</v>
      </c>
      <c r="C88" s="42">
        <v>6118</v>
      </c>
      <c r="D88" s="42">
        <v>43</v>
      </c>
      <c r="E88" s="42">
        <v>1365</v>
      </c>
      <c r="F88" s="42">
        <v>1125</v>
      </c>
      <c r="G88" s="42">
        <v>173</v>
      </c>
      <c r="H88" s="42">
        <v>26</v>
      </c>
    </row>
    <row r="89" spans="1:8" x14ac:dyDescent="0.2">
      <c r="A89" s="34" t="s">
        <v>161</v>
      </c>
      <c r="B89" s="42">
        <v>290357</v>
      </c>
      <c r="C89" s="42">
        <v>6790</v>
      </c>
      <c r="D89" s="42">
        <v>48</v>
      </c>
      <c r="E89" s="42">
        <v>1382</v>
      </c>
      <c r="F89" s="42">
        <v>1227</v>
      </c>
      <c r="G89" s="42">
        <v>194</v>
      </c>
      <c r="H89" s="42">
        <v>19</v>
      </c>
    </row>
    <row r="90" spans="1:8" x14ac:dyDescent="0.2">
      <c r="A90" s="34" t="s">
        <v>162</v>
      </c>
      <c r="B90" s="42">
        <v>304723</v>
      </c>
      <c r="C90" s="42">
        <v>7246</v>
      </c>
      <c r="D90" s="42">
        <v>49</v>
      </c>
      <c r="E90" s="42">
        <v>1276</v>
      </c>
      <c r="F90" s="42">
        <v>1252</v>
      </c>
      <c r="G90" s="42">
        <v>175</v>
      </c>
      <c r="H90" s="42">
        <v>32</v>
      </c>
    </row>
    <row r="91" spans="1:8" x14ac:dyDescent="0.2">
      <c r="A91" s="34" t="s">
        <v>163</v>
      </c>
      <c r="B91" s="42">
        <v>295085</v>
      </c>
      <c r="C91" s="42">
        <v>6237</v>
      </c>
      <c r="D91" s="42">
        <v>43</v>
      </c>
      <c r="E91" s="42">
        <v>1195</v>
      </c>
      <c r="F91" s="42">
        <v>1220</v>
      </c>
      <c r="G91" s="42">
        <v>189</v>
      </c>
      <c r="H91" s="42">
        <v>37</v>
      </c>
    </row>
    <row r="92" spans="1:8" x14ac:dyDescent="0.2">
      <c r="A92" s="34" t="s">
        <v>164</v>
      </c>
      <c r="B92" s="42">
        <v>300904</v>
      </c>
      <c r="C92" s="42">
        <v>4965</v>
      </c>
      <c r="D92" s="42">
        <v>41</v>
      </c>
      <c r="E92" s="42">
        <v>1127</v>
      </c>
      <c r="F92" s="42">
        <v>1234</v>
      </c>
      <c r="G92" s="42">
        <v>195</v>
      </c>
      <c r="H92" s="42">
        <v>31</v>
      </c>
    </row>
    <row r="93" spans="1:8" x14ac:dyDescent="0.2">
      <c r="A93" s="34" t="s">
        <v>165</v>
      </c>
      <c r="B93" s="42">
        <v>302787</v>
      </c>
      <c r="C93" s="42">
        <v>4258</v>
      </c>
      <c r="D93" s="42">
        <v>36</v>
      </c>
      <c r="E93" s="42">
        <v>1067</v>
      </c>
      <c r="F93" s="42">
        <v>1153</v>
      </c>
      <c r="G93" s="42">
        <v>189</v>
      </c>
      <c r="H93" s="42">
        <v>46</v>
      </c>
    </row>
    <row r="94" spans="1:8" x14ac:dyDescent="0.2">
      <c r="A94" s="34" t="s">
        <v>166</v>
      </c>
      <c r="B94" s="42">
        <v>288444</v>
      </c>
      <c r="C94" s="42">
        <v>3877</v>
      </c>
      <c r="D94" s="42">
        <v>21</v>
      </c>
      <c r="E94" s="42">
        <v>977</v>
      </c>
      <c r="F94" s="42">
        <v>1156</v>
      </c>
      <c r="G94" s="42">
        <v>184</v>
      </c>
      <c r="H94" s="42">
        <v>47</v>
      </c>
    </row>
    <row r="95" spans="1:8" x14ac:dyDescent="0.2">
      <c r="A95" s="34" t="s">
        <v>168</v>
      </c>
      <c r="B95" s="42">
        <v>297352</v>
      </c>
      <c r="C95" s="42">
        <v>3443</v>
      </c>
      <c r="D95" s="42">
        <v>29</v>
      </c>
      <c r="E95" s="42">
        <v>985</v>
      </c>
      <c r="F95" s="42">
        <v>1265</v>
      </c>
      <c r="G95" s="42">
        <v>180</v>
      </c>
      <c r="H95" s="42">
        <v>51</v>
      </c>
    </row>
    <row r="96" spans="1:8" x14ac:dyDescent="0.2">
      <c r="A96" s="34" t="s">
        <v>195</v>
      </c>
      <c r="B96" s="42">
        <v>301084</v>
      </c>
      <c r="C96" s="42">
        <v>3641</v>
      </c>
      <c r="D96" s="42">
        <v>53</v>
      </c>
      <c r="E96" s="42">
        <v>998</v>
      </c>
      <c r="F96" s="42">
        <v>1300</v>
      </c>
      <c r="G96" s="42">
        <v>194</v>
      </c>
      <c r="H96" s="42">
        <v>44</v>
      </c>
    </row>
    <row r="97" spans="1:8" x14ac:dyDescent="0.2">
      <c r="A97" s="26" t="s">
        <v>196</v>
      </c>
      <c r="B97" s="42">
        <v>326364</v>
      </c>
      <c r="C97" s="42">
        <v>4061</v>
      </c>
      <c r="D97" s="42">
        <v>46</v>
      </c>
      <c r="E97" s="42">
        <v>1065</v>
      </c>
      <c r="F97" s="42">
        <v>1397</v>
      </c>
      <c r="G97" s="42">
        <v>197</v>
      </c>
      <c r="H97" s="42">
        <v>50</v>
      </c>
    </row>
    <row r="98" spans="1:8" x14ac:dyDescent="0.2">
      <c r="A98" s="26" t="s">
        <v>210</v>
      </c>
      <c r="B98" s="42">
        <v>353757</v>
      </c>
      <c r="C98" s="42">
        <v>4669</v>
      </c>
      <c r="D98" s="42">
        <v>57</v>
      </c>
      <c r="E98" s="42">
        <v>1191</v>
      </c>
      <c r="F98" s="42">
        <v>1667</v>
      </c>
      <c r="G98" s="42">
        <v>206</v>
      </c>
      <c r="H98" s="42">
        <v>48</v>
      </c>
    </row>
    <row r="99" spans="1:8" x14ac:dyDescent="0.2">
      <c r="A99" s="34" t="s">
        <v>222</v>
      </c>
      <c r="B99" s="98">
        <v>370232</v>
      </c>
      <c r="C99" s="98">
        <v>5248</v>
      </c>
      <c r="D99" s="98">
        <v>49</v>
      </c>
      <c r="E99" s="98">
        <v>1154</v>
      </c>
      <c r="F99" s="98">
        <v>1674</v>
      </c>
      <c r="G99" s="98">
        <v>197</v>
      </c>
      <c r="H99" s="98">
        <v>61</v>
      </c>
    </row>
    <row r="100" spans="1:8" x14ac:dyDescent="0.2">
      <c r="A100" s="21" t="s">
        <v>179</v>
      </c>
      <c r="B100" s="42"/>
      <c r="C100" s="42"/>
      <c r="D100" s="42"/>
      <c r="E100" s="42"/>
      <c r="F100" s="42"/>
      <c r="G100" s="42"/>
      <c r="H100" s="42"/>
    </row>
    <row r="101" spans="1:8" x14ac:dyDescent="0.2">
      <c r="A101" s="34" t="s">
        <v>156</v>
      </c>
      <c r="B101" s="42">
        <v>282381</v>
      </c>
      <c r="C101" s="42">
        <v>18811</v>
      </c>
      <c r="D101" s="42"/>
      <c r="E101" s="42"/>
      <c r="F101" s="42"/>
      <c r="G101" s="42"/>
      <c r="H101" s="42"/>
    </row>
    <row r="102" spans="1:8" x14ac:dyDescent="0.2">
      <c r="A102" s="34" t="s">
        <v>157</v>
      </c>
      <c r="B102" s="42">
        <v>292842</v>
      </c>
      <c r="C102" s="42">
        <v>18005</v>
      </c>
      <c r="D102" s="42"/>
      <c r="E102" s="42"/>
      <c r="F102" s="42"/>
      <c r="G102" s="42"/>
      <c r="H102" s="42"/>
    </row>
    <row r="103" spans="1:8" x14ac:dyDescent="0.2">
      <c r="A103" s="34" t="s">
        <v>158</v>
      </c>
      <c r="B103" s="42">
        <v>295094</v>
      </c>
      <c r="C103" s="42">
        <v>18599</v>
      </c>
      <c r="D103" s="42"/>
      <c r="E103" s="42"/>
      <c r="F103" s="42"/>
      <c r="G103" s="42"/>
      <c r="H103" s="42"/>
    </row>
    <row r="104" spans="1:8" x14ac:dyDescent="0.2">
      <c r="A104" s="34" t="s">
        <v>159</v>
      </c>
      <c r="B104" s="42">
        <v>297533</v>
      </c>
      <c r="C104" s="42">
        <v>18177</v>
      </c>
      <c r="D104" s="42"/>
      <c r="E104" s="42"/>
      <c r="F104" s="42"/>
      <c r="G104" s="42"/>
      <c r="H104" s="42"/>
    </row>
    <row r="105" spans="1:8" x14ac:dyDescent="0.2">
      <c r="A105" s="34" t="s">
        <v>160</v>
      </c>
      <c r="B105" s="42">
        <v>304305</v>
      </c>
      <c r="C105" s="42">
        <v>19572</v>
      </c>
      <c r="D105" s="42"/>
      <c r="E105" s="42"/>
      <c r="F105" s="42"/>
      <c r="G105" s="42"/>
      <c r="H105" s="42"/>
    </row>
    <row r="106" spans="1:8" x14ac:dyDescent="0.2">
      <c r="A106" s="34" t="s">
        <v>161</v>
      </c>
      <c r="B106" s="42">
        <v>308119</v>
      </c>
      <c r="C106" s="42">
        <v>18022</v>
      </c>
      <c r="D106" s="42"/>
      <c r="E106" s="42"/>
      <c r="F106" s="42"/>
      <c r="G106" s="42"/>
      <c r="H106" s="42"/>
    </row>
    <row r="107" spans="1:8" x14ac:dyDescent="0.2">
      <c r="A107" s="34" t="s">
        <v>162</v>
      </c>
      <c r="B107" s="42">
        <v>311765</v>
      </c>
      <c r="C107" s="42">
        <v>16194</v>
      </c>
      <c r="D107" s="42"/>
      <c r="E107" s="42"/>
      <c r="F107" s="42"/>
      <c r="G107" s="42"/>
      <c r="H107" s="42"/>
    </row>
    <row r="108" spans="1:8" x14ac:dyDescent="0.2">
      <c r="A108" s="34" t="s">
        <v>163</v>
      </c>
      <c r="B108" s="42">
        <v>313608</v>
      </c>
      <c r="C108" s="42">
        <v>10339</v>
      </c>
      <c r="D108" s="42"/>
      <c r="E108" s="42"/>
      <c r="F108" s="42"/>
      <c r="G108" s="42"/>
      <c r="H108" s="42"/>
    </row>
    <row r="109" spans="1:8" x14ac:dyDescent="0.2">
      <c r="A109" s="34" t="s">
        <v>164</v>
      </c>
      <c r="B109" s="42">
        <v>325669</v>
      </c>
      <c r="C109" s="42">
        <v>11101</v>
      </c>
      <c r="D109" s="42"/>
      <c r="E109" s="42"/>
      <c r="F109" s="42"/>
      <c r="G109" s="42"/>
      <c r="H109" s="42"/>
    </row>
    <row r="110" spans="1:8" x14ac:dyDescent="0.2">
      <c r="A110" s="34" t="s">
        <v>165</v>
      </c>
      <c r="B110" s="42">
        <v>323799</v>
      </c>
      <c r="C110" s="42">
        <v>11554</v>
      </c>
      <c r="D110" s="42"/>
      <c r="E110" s="42"/>
      <c r="F110" s="42"/>
      <c r="G110" s="42"/>
      <c r="H110" s="42"/>
    </row>
    <row r="111" spans="1:8" x14ac:dyDescent="0.2">
      <c r="A111" s="34" t="s">
        <v>166</v>
      </c>
      <c r="B111" s="42">
        <v>311120</v>
      </c>
      <c r="C111" s="42">
        <v>13085</v>
      </c>
      <c r="D111" s="42"/>
      <c r="E111" s="42"/>
      <c r="F111" s="42"/>
      <c r="G111" s="42"/>
      <c r="H111" s="42"/>
    </row>
    <row r="112" spans="1:8" x14ac:dyDescent="0.2">
      <c r="A112" s="34" t="s">
        <v>168</v>
      </c>
      <c r="B112" s="98" t="s">
        <v>347</v>
      </c>
      <c r="C112" s="98" t="s">
        <v>348</v>
      </c>
      <c r="D112" s="42"/>
      <c r="E112" s="42"/>
      <c r="F112" s="42"/>
      <c r="G112" s="42"/>
      <c r="H112" s="42"/>
    </row>
    <row r="113" spans="1:8" x14ac:dyDescent="0.2">
      <c r="A113" s="34" t="s">
        <v>195</v>
      </c>
      <c r="B113" s="98" t="s">
        <v>349</v>
      </c>
      <c r="C113" s="98" t="s">
        <v>350</v>
      </c>
      <c r="D113" s="42"/>
      <c r="E113" s="42"/>
      <c r="F113" s="42"/>
      <c r="G113" s="42"/>
      <c r="H113" s="42"/>
    </row>
    <row r="114" spans="1:8" x14ac:dyDescent="0.2">
      <c r="A114" s="26" t="s">
        <v>196</v>
      </c>
      <c r="B114" s="42">
        <v>358161</v>
      </c>
      <c r="C114" s="42">
        <v>15725</v>
      </c>
      <c r="D114" s="42"/>
      <c r="E114" s="42"/>
      <c r="F114" s="42"/>
      <c r="G114" s="42"/>
      <c r="H114" s="42"/>
    </row>
    <row r="115" spans="1:8" x14ac:dyDescent="0.2">
      <c r="A115" s="26" t="s">
        <v>210</v>
      </c>
      <c r="B115" s="42">
        <v>389918</v>
      </c>
      <c r="C115" s="42">
        <v>12813</v>
      </c>
      <c r="D115" s="42"/>
      <c r="E115" s="42"/>
      <c r="F115" s="42"/>
      <c r="G115" s="42"/>
      <c r="H115" s="42"/>
    </row>
    <row r="116" spans="1:8" x14ac:dyDescent="0.2">
      <c r="A116" s="43" t="s">
        <v>222</v>
      </c>
      <c r="B116" s="44">
        <v>404338</v>
      </c>
      <c r="C116" s="44">
        <v>13183</v>
      </c>
      <c r="D116" s="44"/>
      <c r="E116" s="44"/>
      <c r="F116" s="44"/>
      <c r="G116" s="44"/>
      <c r="H116" s="44"/>
    </row>
    <row r="117" spans="1:8" x14ac:dyDescent="0.2">
      <c r="A117" s="34" t="s">
        <v>18</v>
      </c>
      <c r="B117" s="42"/>
      <c r="C117" s="42"/>
      <c r="D117" s="42"/>
      <c r="E117" s="42"/>
      <c r="F117" s="42"/>
      <c r="G117" s="42"/>
      <c r="H117" s="42"/>
    </row>
    <row r="118" spans="1:8" x14ac:dyDescent="0.2">
      <c r="A118" s="48" t="s">
        <v>397</v>
      </c>
      <c r="B118" s="42"/>
      <c r="C118" s="42"/>
      <c r="D118" s="42"/>
      <c r="E118" s="42"/>
      <c r="F118" s="42"/>
      <c r="G118" s="42"/>
      <c r="H118" s="42"/>
    </row>
    <row r="121" spans="1:8" x14ac:dyDescent="0.2">
      <c r="A121" s="27" t="s">
        <v>273</v>
      </c>
      <c r="B121" s="92"/>
      <c r="C121" s="92"/>
      <c r="D121" s="92"/>
      <c r="E121" s="92"/>
      <c r="F121" s="92"/>
      <c r="G121" s="92"/>
      <c r="H121" s="92"/>
    </row>
    <row r="122" spans="1:8" x14ac:dyDescent="0.2">
      <c r="A122" s="210" t="s">
        <v>154</v>
      </c>
      <c r="D122" s="212" t="s">
        <v>169</v>
      </c>
      <c r="E122" s="212"/>
      <c r="F122" s="212"/>
      <c r="G122" s="212"/>
      <c r="H122" s="212"/>
    </row>
    <row r="123" spans="1:8" ht="25.5" x14ac:dyDescent="0.2">
      <c r="A123" s="211"/>
      <c r="B123" s="40" t="s">
        <v>305</v>
      </c>
      <c r="C123" s="40" t="s">
        <v>171</v>
      </c>
      <c r="D123" s="40" t="s">
        <v>172</v>
      </c>
      <c r="E123" s="40" t="s">
        <v>173</v>
      </c>
      <c r="F123" s="40" t="s">
        <v>174</v>
      </c>
      <c r="G123" s="40" t="s">
        <v>175</v>
      </c>
      <c r="H123" s="40" t="s">
        <v>176</v>
      </c>
    </row>
    <row r="124" spans="1:8" x14ac:dyDescent="0.2">
      <c r="A124" s="20" t="s">
        <v>177</v>
      </c>
      <c r="B124" s="93"/>
      <c r="C124" s="41"/>
      <c r="D124" s="41"/>
      <c r="E124" s="41"/>
      <c r="F124" s="41"/>
      <c r="G124" s="41"/>
      <c r="H124" s="41"/>
    </row>
    <row r="125" spans="1:8" x14ac:dyDescent="0.2">
      <c r="A125" s="34" t="s">
        <v>156</v>
      </c>
      <c r="B125" s="42">
        <v>2786675</v>
      </c>
      <c r="C125" s="42">
        <v>463820</v>
      </c>
      <c r="D125" s="42">
        <v>41811</v>
      </c>
      <c r="E125" s="42">
        <v>86459</v>
      </c>
      <c r="F125" s="42">
        <v>233136</v>
      </c>
      <c r="G125" s="42">
        <v>90612</v>
      </c>
      <c r="H125" s="42">
        <v>37954</v>
      </c>
    </row>
    <row r="126" spans="1:8" x14ac:dyDescent="0.2">
      <c r="A126" s="34" t="s">
        <v>157</v>
      </c>
      <c r="B126" s="42">
        <v>2876679</v>
      </c>
      <c r="C126" s="42">
        <v>476740</v>
      </c>
      <c r="D126" s="42">
        <v>43729</v>
      </c>
      <c r="E126" s="42">
        <v>89726</v>
      </c>
      <c r="F126" s="42">
        <v>237179</v>
      </c>
      <c r="G126" s="42">
        <v>90475</v>
      </c>
      <c r="H126" s="42">
        <v>40948</v>
      </c>
    </row>
    <row r="127" spans="1:8" x14ac:dyDescent="0.2">
      <c r="A127" s="34" t="s">
        <v>158</v>
      </c>
      <c r="B127" s="42">
        <v>2930148</v>
      </c>
      <c r="C127" s="42">
        <v>486409</v>
      </c>
      <c r="D127" s="42">
        <v>45113</v>
      </c>
      <c r="E127" s="42">
        <v>91204</v>
      </c>
      <c r="F127" s="42">
        <v>241747</v>
      </c>
      <c r="G127" s="42">
        <v>89729</v>
      </c>
      <c r="H127" s="42">
        <v>43788</v>
      </c>
    </row>
    <row r="128" spans="1:8" x14ac:dyDescent="0.2">
      <c r="A128" s="34" t="s">
        <v>159</v>
      </c>
      <c r="B128" s="42">
        <v>2992565</v>
      </c>
      <c r="C128" s="42">
        <v>496720</v>
      </c>
      <c r="D128" s="42">
        <v>46511</v>
      </c>
      <c r="E128" s="42">
        <v>92758</v>
      </c>
      <c r="F128" s="42">
        <v>244520</v>
      </c>
      <c r="G128" s="42">
        <v>88487</v>
      </c>
      <c r="H128" s="42">
        <v>46649</v>
      </c>
    </row>
    <row r="129" spans="1:8" x14ac:dyDescent="0.2">
      <c r="A129" s="34" t="s">
        <v>160</v>
      </c>
      <c r="B129" s="42">
        <v>3005259</v>
      </c>
      <c r="C129" s="42">
        <v>499173</v>
      </c>
      <c r="D129" s="42">
        <v>47365</v>
      </c>
      <c r="E129" s="42">
        <v>91952</v>
      </c>
      <c r="F129" s="42">
        <v>242767</v>
      </c>
      <c r="G129" s="42">
        <v>85169</v>
      </c>
      <c r="H129" s="42">
        <v>48633</v>
      </c>
    </row>
    <row r="130" spans="1:8" x14ac:dyDescent="0.2">
      <c r="A130" s="34" t="s">
        <v>161</v>
      </c>
      <c r="B130" s="42">
        <v>3055203</v>
      </c>
      <c r="C130" s="42">
        <v>507300</v>
      </c>
      <c r="D130" s="42">
        <v>48760</v>
      </c>
      <c r="E130" s="42">
        <v>92297</v>
      </c>
      <c r="F130" s="42">
        <v>244038</v>
      </c>
      <c r="G130" s="42">
        <v>82943</v>
      </c>
      <c r="H130" s="42">
        <v>50691</v>
      </c>
    </row>
    <row r="131" spans="1:8" x14ac:dyDescent="0.2">
      <c r="A131" s="34" t="s">
        <v>162</v>
      </c>
      <c r="B131" s="42">
        <v>3125801</v>
      </c>
      <c r="C131" s="42">
        <v>518015</v>
      </c>
      <c r="D131" s="42">
        <v>50422</v>
      </c>
      <c r="E131" s="42">
        <v>93255</v>
      </c>
      <c r="F131" s="42">
        <v>245486</v>
      </c>
      <c r="G131" s="42">
        <v>81051</v>
      </c>
      <c r="H131" s="42">
        <v>53010</v>
      </c>
    </row>
    <row r="132" spans="1:8" x14ac:dyDescent="0.2">
      <c r="A132" s="34" t="s">
        <v>163</v>
      </c>
      <c r="B132" s="42">
        <v>3199222</v>
      </c>
      <c r="C132" s="42">
        <v>529179</v>
      </c>
      <c r="D132" s="42">
        <v>52531</v>
      </c>
      <c r="E132" s="42">
        <v>94053</v>
      </c>
      <c r="F132" s="42">
        <v>246365</v>
      </c>
      <c r="G132" s="42">
        <v>79291</v>
      </c>
      <c r="H132" s="42">
        <v>55151</v>
      </c>
    </row>
    <row r="133" spans="1:8" x14ac:dyDescent="0.2">
      <c r="A133" s="34" t="s">
        <v>164</v>
      </c>
      <c r="B133" s="42">
        <v>3267344</v>
      </c>
      <c r="C133" s="42">
        <v>533308</v>
      </c>
      <c r="D133" s="42">
        <v>54877</v>
      </c>
      <c r="E133" s="42">
        <v>94822</v>
      </c>
      <c r="F133" s="42">
        <v>247072</v>
      </c>
      <c r="G133" s="42">
        <v>77251</v>
      </c>
      <c r="H133" s="42">
        <v>57346</v>
      </c>
    </row>
    <row r="134" spans="1:8" x14ac:dyDescent="0.2">
      <c r="A134" s="34" t="s">
        <v>165</v>
      </c>
      <c r="B134" s="42">
        <v>3333607</v>
      </c>
      <c r="C134" s="42">
        <v>537089</v>
      </c>
      <c r="D134" s="42">
        <v>56943</v>
      </c>
      <c r="E134" s="42">
        <v>95638</v>
      </c>
      <c r="F134" s="42">
        <v>248072</v>
      </c>
      <c r="G134" s="42">
        <v>75488</v>
      </c>
      <c r="H134" s="42">
        <v>59214</v>
      </c>
    </row>
    <row r="135" spans="1:8" x14ac:dyDescent="0.2">
      <c r="A135" s="34" t="s">
        <v>166</v>
      </c>
      <c r="B135" s="42">
        <v>3408582</v>
      </c>
      <c r="C135" s="42">
        <v>543338</v>
      </c>
      <c r="D135" s="42">
        <v>58585</v>
      </c>
      <c r="E135" s="42">
        <v>96623</v>
      </c>
      <c r="F135" s="42">
        <v>249264</v>
      </c>
      <c r="G135" s="42">
        <v>73891</v>
      </c>
      <c r="H135" s="42">
        <v>61620</v>
      </c>
    </row>
    <row r="136" spans="1:8" x14ac:dyDescent="0.2">
      <c r="A136" s="34" t="s">
        <v>168</v>
      </c>
      <c r="B136" s="42">
        <v>3481322</v>
      </c>
      <c r="C136" s="42">
        <v>552703</v>
      </c>
      <c r="D136" s="42">
        <v>59903</v>
      </c>
      <c r="E136" s="42">
        <v>97628</v>
      </c>
      <c r="F136" s="42">
        <v>252574</v>
      </c>
      <c r="G136" s="42">
        <v>72651</v>
      </c>
      <c r="H136" s="42">
        <v>64488</v>
      </c>
    </row>
    <row r="137" spans="1:8" x14ac:dyDescent="0.2">
      <c r="A137" s="34" t="s">
        <v>195</v>
      </c>
      <c r="B137" s="42">
        <v>3557731</v>
      </c>
      <c r="C137" s="42">
        <v>558030</v>
      </c>
      <c r="D137" s="42">
        <v>61616</v>
      </c>
      <c r="E137" s="42">
        <v>98675</v>
      </c>
      <c r="F137" s="42">
        <v>254329</v>
      </c>
      <c r="G137" s="42">
        <v>70944</v>
      </c>
      <c r="H137" s="42">
        <v>66975</v>
      </c>
    </row>
    <row r="138" spans="1:8" x14ac:dyDescent="0.2">
      <c r="A138" s="34" t="s">
        <v>196</v>
      </c>
      <c r="B138" s="42">
        <v>3616589</v>
      </c>
      <c r="C138" s="42">
        <v>560851</v>
      </c>
      <c r="D138" s="42">
        <v>64316</v>
      </c>
      <c r="E138" s="42">
        <v>99012</v>
      </c>
      <c r="F138" s="42">
        <v>255664</v>
      </c>
      <c r="G138" s="42">
        <v>68704</v>
      </c>
      <c r="H138" s="42">
        <v>68497</v>
      </c>
    </row>
    <row r="139" spans="1:8" x14ac:dyDescent="0.2">
      <c r="A139" s="34" t="s">
        <v>210</v>
      </c>
      <c r="B139" s="42">
        <v>3712873</v>
      </c>
      <c r="C139" s="42">
        <v>565860</v>
      </c>
      <c r="D139" s="42">
        <v>66692</v>
      </c>
      <c r="E139" s="42">
        <v>100126</v>
      </c>
      <c r="F139" s="42">
        <v>259565</v>
      </c>
      <c r="G139" s="42">
        <v>66953</v>
      </c>
      <c r="H139" s="42">
        <v>70352</v>
      </c>
    </row>
    <row r="140" spans="1:8" x14ac:dyDescent="0.2">
      <c r="A140" s="34" t="s">
        <v>222</v>
      </c>
      <c r="B140" s="42">
        <v>3797978</v>
      </c>
      <c r="C140" s="42">
        <v>570258</v>
      </c>
      <c r="D140" s="42">
        <v>68736</v>
      </c>
      <c r="E140" s="42">
        <v>100800</v>
      </c>
      <c r="F140" s="42">
        <v>262675</v>
      </c>
      <c r="G140" s="42">
        <v>65164</v>
      </c>
      <c r="H140" s="42">
        <v>72299</v>
      </c>
    </row>
    <row r="141" spans="1:8" ht="12" customHeight="1" x14ac:dyDescent="0.2">
      <c r="A141" s="21" t="s">
        <v>178</v>
      </c>
      <c r="B141" s="42"/>
      <c r="C141" s="42"/>
      <c r="D141" s="42"/>
      <c r="E141" s="42"/>
      <c r="F141" s="42"/>
      <c r="G141" s="42"/>
      <c r="H141" s="42"/>
    </row>
    <row r="142" spans="1:8" x14ac:dyDescent="0.2">
      <c r="A142" s="34" t="s">
        <v>156</v>
      </c>
      <c r="B142" s="42">
        <v>169391</v>
      </c>
      <c r="C142" s="42">
        <v>5974</v>
      </c>
      <c r="D142" s="42">
        <v>272</v>
      </c>
      <c r="E142" s="42">
        <v>1539</v>
      </c>
      <c r="F142" s="42">
        <v>2034</v>
      </c>
      <c r="G142" s="42">
        <v>585</v>
      </c>
      <c r="H142" s="42">
        <v>454</v>
      </c>
    </row>
    <row r="143" spans="1:8" x14ac:dyDescent="0.2">
      <c r="A143" s="34" t="s">
        <v>157</v>
      </c>
      <c r="B143" s="42">
        <v>185112</v>
      </c>
      <c r="C143" s="42">
        <v>5869</v>
      </c>
      <c r="D143" s="42">
        <v>302</v>
      </c>
      <c r="E143" s="42">
        <v>1657</v>
      </c>
      <c r="F143" s="42">
        <v>2003</v>
      </c>
      <c r="G143" s="42">
        <v>574</v>
      </c>
      <c r="H143" s="42">
        <v>449</v>
      </c>
    </row>
    <row r="144" spans="1:8" x14ac:dyDescent="0.2">
      <c r="A144" s="34" t="s">
        <v>158</v>
      </c>
      <c r="B144" s="42">
        <v>194998</v>
      </c>
      <c r="C144" s="42">
        <v>5422</v>
      </c>
      <c r="D144" s="42">
        <v>275</v>
      </c>
      <c r="E144" s="42">
        <v>1568</v>
      </c>
      <c r="F144" s="42">
        <v>1754</v>
      </c>
      <c r="G144" s="42">
        <v>480</v>
      </c>
      <c r="H144" s="42">
        <v>408</v>
      </c>
    </row>
    <row r="145" spans="1:8" x14ac:dyDescent="0.2">
      <c r="A145" s="34" t="s">
        <v>159</v>
      </c>
      <c r="B145" s="42">
        <v>205183</v>
      </c>
      <c r="C145" s="42">
        <v>6079</v>
      </c>
      <c r="D145" s="42">
        <v>295</v>
      </c>
      <c r="E145" s="42">
        <v>1638</v>
      </c>
      <c r="F145" s="42">
        <v>1980</v>
      </c>
      <c r="G145" s="42">
        <v>490</v>
      </c>
      <c r="H145" s="42">
        <v>462</v>
      </c>
    </row>
    <row r="146" spans="1:8" x14ac:dyDescent="0.2">
      <c r="A146" s="34" t="s">
        <v>160</v>
      </c>
      <c r="B146" s="42">
        <v>206629</v>
      </c>
      <c r="C146" s="42">
        <v>6477</v>
      </c>
      <c r="D146" s="42">
        <v>285</v>
      </c>
      <c r="E146" s="42">
        <v>1664</v>
      </c>
      <c r="F146" s="42">
        <v>2131</v>
      </c>
      <c r="G146" s="42">
        <v>542</v>
      </c>
      <c r="H146" s="42">
        <v>537</v>
      </c>
    </row>
    <row r="147" spans="1:8" x14ac:dyDescent="0.2">
      <c r="A147" s="34" t="s">
        <v>161</v>
      </c>
      <c r="B147" s="42">
        <v>203209</v>
      </c>
      <c r="C147" s="42">
        <v>6249</v>
      </c>
      <c r="D147" s="42">
        <v>278</v>
      </c>
      <c r="E147" s="42">
        <v>1548</v>
      </c>
      <c r="F147" s="42">
        <v>2061</v>
      </c>
      <c r="G147" s="42">
        <v>519</v>
      </c>
      <c r="H147" s="42">
        <v>521</v>
      </c>
    </row>
    <row r="148" spans="1:8" x14ac:dyDescent="0.2">
      <c r="A148" s="34" t="s">
        <v>162</v>
      </c>
      <c r="B148" s="42">
        <v>205589</v>
      </c>
      <c r="C148" s="42">
        <v>6692</v>
      </c>
      <c r="D148" s="42">
        <v>265</v>
      </c>
      <c r="E148" s="42">
        <v>1631</v>
      </c>
      <c r="F148" s="42">
        <v>2212</v>
      </c>
      <c r="G148" s="42">
        <v>501</v>
      </c>
      <c r="H148" s="42">
        <v>644</v>
      </c>
    </row>
    <row r="149" spans="1:8" x14ac:dyDescent="0.2">
      <c r="A149" s="34" t="s">
        <v>163</v>
      </c>
      <c r="B149" s="42">
        <v>206158</v>
      </c>
      <c r="C149" s="42">
        <v>6077</v>
      </c>
      <c r="D149" s="42">
        <v>254</v>
      </c>
      <c r="E149" s="42">
        <v>1562</v>
      </c>
      <c r="F149" s="42">
        <v>2186</v>
      </c>
      <c r="G149" s="42">
        <v>480</v>
      </c>
      <c r="H149" s="42">
        <v>599</v>
      </c>
    </row>
    <row r="150" spans="1:8" x14ac:dyDescent="0.2">
      <c r="A150" s="34" t="s">
        <v>164</v>
      </c>
      <c r="B150" s="42">
        <v>204418</v>
      </c>
      <c r="C150" s="42">
        <v>4819</v>
      </c>
      <c r="D150" s="42">
        <v>239</v>
      </c>
      <c r="E150" s="42">
        <v>1458</v>
      </c>
      <c r="F150" s="42">
        <v>2066</v>
      </c>
      <c r="G150" s="42">
        <v>439</v>
      </c>
      <c r="H150" s="42">
        <v>591</v>
      </c>
    </row>
    <row r="151" spans="1:8" x14ac:dyDescent="0.2">
      <c r="A151" s="34" t="s">
        <v>165</v>
      </c>
      <c r="B151" s="42">
        <v>204006</v>
      </c>
      <c r="C151" s="42">
        <v>4744</v>
      </c>
      <c r="D151" s="42">
        <v>244</v>
      </c>
      <c r="E151" s="42">
        <v>1490</v>
      </c>
      <c r="F151" s="42">
        <v>2180</v>
      </c>
      <c r="G151" s="42">
        <v>393</v>
      </c>
      <c r="H151" s="42">
        <v>590</v>
      </c>
    </row>
    <row r="152" spans="1:8" x14ac:dyDescent="0.2">
      <c r="A152" s="34" t="s">
        <v>166</v>
      </c>
      <c r="B152" s="42">
        <v>196506</v>
      </c>
      <c r="C152" s="42">
        <v>4576</v>
      </c>
      <c r="D152" s="42">
        <v>212</v>
      </c>
      <c r="E152" s="42">
        <v>1382</v>
      </c>
      <c r="F152" s="42">
        <v>2082</v>
      </c>
      <c r="G152" s="42">
        <v>359</v>
      </c>
      <c r="H152" s="42">
        <v>604</v>
      </c>
    </row>
    <row r="153" spans="1:8" x14ac:dyDescent="0.2">
      <c r="A153" s="34" t="s">
        <v>168</v>
      </c>
      <c r="B153" s="42">
        <v>212212</v>
      </c>
      <c r="C153" s="42">
        <v>4182</v>
      </c>
      <c r="D153" s="42">
        <v>217</v>
      </c>
      <c r="E153" s="42">
        <v>1216</v>
      </c>
      <c r="F153" s="42">
        <v>1868</v>
      </c>
      <c r="G153" s="42">
        <v>343</v>
      </c>
      <c r="H153" s="42">
        <v>531</v>
      </c>
    </row>
    <row r="154" spans="1:8" x14ac:dyDescent="0.2">
      <c r="A154" s="34" t="s">
        <v>195</v>
      </c>
      <c r="B154" s="42">
        <v>209598</v>
      </c>
      <c r="C154" s="42">
        <v>3875</v>
      </c>
      <c r="D154" s="42">
        <v>222</v>
      </c>
      <c r="E154" s="42">
        <v>1276</v>
      </c>
      <c r="F154" s="42">
        <v>1883</v>
      </c>
      <c r="G154" s="42">
        <v>334</v>
      </c>
      <c r="H154" s="42">
        <v>551</v>
      </c>
    </row>
    <row r="155" spans="1:8" x14ac:dyDescent="0.2">
      <c r="A155" s="34" t="s">
        <v>196</v>
      </c>
      <c r="B155" s="42">
        <v>224126</v>
      </c>
      <c r="C155" s="42">
        <v>4638</v>
      </c>
      <c r="D155" s="42">
        <v>272</v>
      </c>
      <c r="E155" s="42">
        <v>1348</v>
      </c>
      <c r="F155" s="42">
        <v>2173</v>
      </c>
      <c r="G155" s="42">
        <v>327</v>
      </c>
      <c r="H155" s="42">
        <v>602</v>
      </c>
    </row>
    <row r="156" spans="1:8" x14ac:dyDescent="0.2">
      <c r="A156" s="34" t="s">
        <v>210</v>
      </c>
      <c r="B156" s="42">
        <v>217215</v>
      </c>
      <c r="C156" s="42">
        <v>4390</v>
      </c>
      <c r="D156" s="42">
        <v>233</v>
      </c>
      <c r="E156" s="42">
        <v>1463</v>
      </c>
      <c r="F156" s="42">
        <v>2169</v>
      </c>
      <c r="G156" s="42">
        <v>280</v>
      </c>
      <c r="H156" s="42">
        <v>614</v>
      </c>
    </row>
    <row r="157" spans="1:8" x14ac:dyDescent="0.2">
      <c r="A157" s="34" t="s">
        <v>222</v>
      </c>
      <c r="B157" s="42">
        <v>224679</v>
      </c>
      <c r="C157" s="42">
        <v>4671</v>
      </c>
      <c r="D157" s="42">
        <v>223</v>
      </c>
      <c r="E157" s="42">
        <v>1458</v>
      </c>
      <c r="F157" s="42">
        <v>2237</v>
      </c>
      <c r="G157" s="42">
        <v>366</v>
      </c>
      <c r="H157" s="42">
        <v>623</v>
      </c>
    </row>
    <row r="158" spans="1:8" x14ac:dyDescent="0.2">
      <c r="A158" s="21" t="s">
        <v>179</v>
      </c>
      <c r="B158" s="42"/>
      <c r="C158" s="42"/>
      <c r="D158" s="42"/>
      <c r="E158" s="42"/>
      <c r="F158" s="42"/>
      <c r="G158" s="42"/>
      <c r="H158" s="42"/>
    </row>
    <row r="159" spans="1:8" ht="12.6" customHeight="1" x14ac:dyDescent="0.2">
      <c r="A159" s="34" t="s">
        <v>156</v>
      </c>
      <c r="B159" s="42">
        <v>178638</v>
      </c>
      <c r="C159" s="42">
        <v>134203</v>
      </c>
      <c r="D159" s="42">
        <v>0</v>
      </c>
      <c r="E159" s="42">
        <v>0</v>
      </c>
      <c r="F159" s="42">
        <v>7</v>
      </c>
      <c r="G159" s="42">
        <v>244</v>
      </c>
      <c r="H159" s="42">
        <v>20</v>
      </c>
    </row>
    <row r="160" spans="1:8" ht="12.6" customHeight="1" x14ac:dyDescent="0.2">
      <c r="A160" s="34" t="s">
        <v>157</v>
      </c>
      <c r="B160" s="42">
        <v>180921</v>
      </c>
      <c r="C160" s="42">
        <v>141855</v>
      </c>
      <c r="D160" s="42">
        <v>0</v>
      </c>
      <c r="E160" s="42">
        <v>0</v>
      </c>
      <c r="F160" s="42">
        <v>4</v>
      </c>
      <c r="G160" s="42">
        <v>232</v>
      </c>
      <c r="H160" s="42">
        <v>20</v>
      </c>
    </row>
    <row r="161" spans="1:12" ht="12.6" customHeight="1" x14ac:dyDescent="0.2">
      <c r="A161" s="34" t="s">
        <v>158</v>
      </c>
      <c r="B161" s="42">
        <v>178345</v>
      </c>
      <c r="C161" s="42">
        <v>144445</v>
      </c>
      <c r="D161" s="42">
        <v>0</v>
      </c>
      <c r="E161" s="42">
        <v>0</v>
      </c>
      <c r="F161" s="42">
        <v>1</v>
      </c>
      <c r="G161" s="42">
        <v>230</v>
      </c>
      <c r="H161" s="42">
        <v>17</v>
      </c>
    </row>
    <row r="162" spans="1:12" ht="12.6" customHeight="1" x14ac:dyDescent="0.2">
      <c r="A162" s="34" t="s">
        <v>159</v>
      </c>
      <c r="B162" s="42">
        <v>178463</v>
      </c>
      <c r="C162" s="42">
        <v>148982</v>
      </c>
      <c r="D162" s="42">
        <v>0</v>
      </c>
      <c r="E162" s="42">
        <v>0</v>
      </c>
      <c r="F162" s="42">
        <v>0</v>
      </c>
      <c r="G162" s="42">
        <v>211</v>
      </c>
      <c r="H162" s="42">
        <v>16</v>
      </c>
    </row>
    <row r="163" spans="1:12" x14ac:dyDescent="0.2">
      <c r="A163" s="34" t="s">
        <v>160</v>
      </c>
      <c r="B163" s="42">
        <v>173711</v>
      </c>
      <c r="C163" s="42">
        <v>148777</v>
      </c>
      <c r="D163" s="42">
        <v>0</v>
      </c>
      <c r="E163" s="42">
        <v>0</v>
      </c>
      <c r="F163" s="42">
        <v>1</v>
      </c>
      <c r="G163" s="42">
        <v>188</v>
      </c>
      <c r="H163" s="42">
        <v>15</v>
      </c>
    </row>
    <row r="164" spans="1:12" x14ac:dyDescent="0.2">
      <c r="A164" s="34" t="s">
        <v>161</v>
      </c>
      <c r="B164" s="42">
        <v>174925</v>
      </c>
      <c r="C164" s="42">
        <v>150497</v>
      </c>
      <c r="D164" s="42">
        <v>0</v>
      </c>
      <c r="E164" s="42">
        <v>0</v>
      </c>
      <c r="F164" s="42">
        <v>1</v>
      </c>
      <c r="G164" s="42">
        <v>178</v>
      </c>
      <c r="H164" s="42">
        <v>15</v>
      </c>
    </row>
    <row r="165" spans="1:12" x14ac:dyDescent="0.2">
      <c r="A165" s="34" t="s">
        <v>162</v>
      </c>
      <c r="B165" s="42">
        <v>175524</v>
      </c>
      <c r="C165" s="42">
        <v>155339</v>
      </c>
      <c r="D165" s="42">
        <v>0</v>
      </c>
      <c r="E165" s="42">
        <v>0</v>
      </c>
      <c r="F165" s="42">
        <v>2</v>
      </c>
      <c r="G165" s="42">
        <v>172</v>
      </c>
      <c r="H165" s="42">
        <v>13</v>
      </c>
    </row>
    <row r="166" spans="1:12" x14ac:dyDescent="0.2">
      <c r="A166" s="34" t="s">
        <v>163</v>
      </c>
      <c r="B166" s="42">
        <v>176368</v>
      </c>
      <c r="C166" s="42">
        <v>155398</v>
      </c>
      <c r="D166" s="42">
        <v>0</v>
      </c>
      <c r="E166" s="42">
        <v>0</v>
      </c>
      <c r="F166" s="42">
        <v>2</v>
      </c>
      <c r="G166" s="42">
        <v>169</v>
      </c>
      <c r="H166" s="42">
        <v>13</v>
      </c>
    </row>
    <row r="167" spans="1:12" x14ac:dyDescent="0.2">
      <c r="A167" s="34" t="s">
        <v>164</v>
      </c>
      <c r="B167" s="42">
        <v>186604</v>
      </c>
      <c r="C167" s="42">
        <v>152183</v>
      </c>
      <c r="D167" s="42">
        <v>0</v>
      </c>
      <c r="E167" s="42">
        <v>0</v>
      </c>
      <c r="F167" s="42">
        <v>1</v>
      </c>
      <c r="G167" s="42">
        <v>166</v>
      </c>
      <c r="H167" s="42">
        <v>13</v>
      </c>
      <c r="I167" s="97"/>
      <c r="J167" s="42"/>
      <c r="K167" s="42"/>
      <c r="L167" s="42"/>
    </row>
    <row r="168" spans="1:12" x14ac:dyDescent="0.2">
      <c r="A168" s="34" t="s">
        <v>165</v>
      </c>
      <c r="B168" s="42">
        <v>182863</v>
      </c>
      <c r="C168" s="42">
        <v>150422</v>
      </c>
      <c r="D168" s="42">
        <v>0</v>
      </c>
      <c r="E168" s="42">
        <v>0</v>
      </c>
      <c r="F168" s="42">
        <v>1</v>
      </c>
      <c r="G168" s="42">
        <v>162</v>
      </c>
      <c r="H168" s="42">
        <v>13</v>
      </c>
      <c r="I168" s="97"/>
      <c r="J168" s="42"/>
      <c r="K168" s="42"/>
      <c r="L168" s="42"/>
    </row>
    <row r="169" spans="1:12" x14ac:dyDescent="0.2">
      <c r="A169" s="34" t="s">
        <v>166</v>
      </c>
      <c r="B169" s="42">
        <v>201934</v>
      </c>
      <c r="C169" s="42">
        <v>150736</v>
      </c>
      <c r="D169" s="42">
        <v>0</v>
      </c>
      <c r="E169" s="42">
        <v>0</v>
      </c>
      <c r="F169" s="42">
        <v>2</v>
      </c>
      <c r="G169" s="42">
        <v>156</v>
      </c>
      <c r="H169" s="42">
        <v>11</v>
      </c>
      <c r="I169" s="97"/>
      <c r="J169" s="42"/>
      <c r="K169" s="42"/>
      <c r="L169" s="42"/>
    </row>
    <row r="170" spans="1:12" x14ac:dyDescent="0.2">
      <c r="A170" s="34" t="s">
        <v>168</v>
      </c>
      <c r="B170" s="42">
        <v>196213</v>
      </c>
      <c r="C170" s="42">
        <v>148176</v>
      </c>
      <c r="D170" s="42">
        <v>0</v>
      </c>
      <c r="E170" s="42">
        <v>0</v>
      </c>
      <c r="F170" s="42">
        <v>2</v>
      </c>
      <c r="G170" s="42">
        <v>151</v>
      </c>
      <c r="H170" s="42">
        <v>12</v>
      </c>
      <c r="I170" s="97"/>
      <c r="J170" s="42"/>
      <c r="K170" s="42"/>
      <c r="L170" s="42"/>
    </row>
    <row r="171" spans="1:12" x14ac:dyDescent="0.2">
      <c r="A171" s="34" t="s">
        <v>195</v>
      </c>
      <c r="B171" s="42">
        <v>206514</v>
      </c>
      <c r="C171" s="42">
        <v>148214</v>
      </c>
      <c r="D171" s="42">
        <v>0</v>
      </c>
      <c r="E171" s="42">
        <v>0</v>
      </c>
      <c r="F171" s="42">
        <v>2</v>
      </c>
      <c r="G171" s="42">
        <v>141</v>
      </c>
      <c r="H171" s="42">
        <v>12</v>
      </c>
      <c r="I171" s="97"/>
      <c r="J171" s="42"/>
      <c r="K171" s="42"/>
      <c r="L171" s="42"/>
    </row>
    <row r="172" spans="1:12" x14ac:dyDescent="0.2">
      <c r="A172" s="34" t="s">
        <v>196</v>
      </c>
      <c r="B172" s="42">
        <v>211746</v>
      </c>
      <c r="C172" s="42">
        <v>147526</v>
      </c>
      <c r="D172" s="42">
        <v>0</v>
      </c>
      <c r="E172" s="42">
        <v>0</v>
      </c>
      <c r="F172" s="42">
        <v>2</v>
      </c>
      <c r="G172" s="42">
        <v>146</v>
      </c>
      <c r="H172" s="42">
        <v>11</v>
      </c>
      <c r="I172" s="97"/>
      <c r="J172" s="42"/>
      <c r="K172" s="42"/>
      <c r="L172" s="42"/>
    </row>
    <row r="173" spans="1:12" x14ac:dyDescent="0.2">
      <c r="A173" s="34" t="s">
        <v>210</v>
      </c>
      <c r="B173" s="42">
        <v>225822</v>
      </c>
      <c r="C173" s="42">
        <v>148603</v>
      </c>
      <c r="D173" s="42">
        <v>0</v>
      </c>
      <c r="E173" s="42">
        <v>0</v>
      </c>
      <c r="F173" s="42">
        <v>2</v>
      </c>
      <c r="G173" s="42">
        <v>136</v>
      </c>
      <c r="H173" s="42">
        <v>11</v>
      </c>
      <c r="I173" s="97"/>
      <c r="J173" s="42"/>
      <c r="K173" s="42"/>
      <c r="L173" s="42"/>
    </row>
    <row r="174" spans="1:12" x14ac:dyDescent="0.2">
      <c r="A174" s="43" t="s">
        <v>222</v>
      </c>
      <c r="B174" s="44">
        <v>235442</v>
      </c>
      <c r="C174" s="44">
        <v>149522</v>
      </c>
      <c r="D174" s="44">
        <v>0</v>
      </c>
      <c r="E174" s="44">
        <v>0</v>
      </c>
      <c r="F174" s="44">
        <v>1</v>
      </c>
      <c r="G174" s="44">
        <v>129</v>
      </c>
      <c r="H174" s="44">
        <v>10</v>
      </c>
      <c r="I174" s="97"/>
      <c r="J174" s="42"/>
      <c r="K174" s="42"/>
      <c r="L174" s="42"/>
    </row>
    <row r="175" spans="1:12" x14ac:dyDescent="0.2">
      <c r="A175" s="34" t="s">
        <v>18</v>
      </c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</row>
    <row r="176" spans="1:12" x14ac:dyDescent="0.2">
      <c r="A176" s="48" t="s">
        <v>242</v>
      </c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</row>
    <row r="177" spans="1:12" x14ac:dyDescent="0.2">
      <c r="I177" s="42"/>
      <c r="J177" s="42"/>
      <c r="K177" s="42"/>
      <c r="L177" s="42"/>
    </row>
    <row r="178" spans="1:12" x14ac:dyDescent="0.2">
      <c r="A178" s="27" t="s">
        <v>272</v>
      </c>
      <c r="B178" s="92"/>
      <c r="C178" s="92"/>
      <c r="D178" s="92"/>
      <c r="E178" s="92"/>
      <c r="F178" s="92"/>
      <c r="G178" s="92"/>
      <c r="H178" s="92"/>
      <c r="I178" s="42"/>
      <c r="J178" s="42"/>
      <c r="K178" s="42"/>
      <c r="L178" s="42"/>
    </row>
    <row r="179" spans="1:12" x14ac:dyDescent="0.2">
      <c r="A179" s="210" t="s">
        <v>154</v>
      </c>
      <c r="D179" s="212" t="s">
        <v>169</v>
      </c>
      <c r="E179" s="212"/>
      <c r="F179" s="212"/>
      <c r="G179" s="212"/>
      <c r="H179" s="212"/>
      <c r="I179" s="42"/>
      <c r="J179" s="42"/>
      <c r="K179" s="42"/>
      <c r="L179" s="42"/>
    </row>
    <row r="180" spans="1:12" ht="25.5" x14ac:dyDescent="0.2">
      <c r="A180" s="211"/>
      <c r="B180" s="40" t="s">
        <v>170</v>
      </c>
      <c r="C180" s="40" t="s">
        <v>171</v>
      </c>
      <c r="D180" s="40" t="s">
        <v>172</v>
      </c>
      <c r="E180" s="40" t="s">
        <v>173</v>
      </c>
      <c r="F180" s="40" t="s">
        <v>174</v>
      </c>
      <c r="G180" s="40" t="s">
        <v>175</v>
      </c>
      <c r="H180" s="40" t="s">
        <v>176</v>
      </c>
      <c r="I180" s="137" t="s">
        <v>238</v>
      </c>
      <c r="J180" s="42"/>
      <c r="K180" s="42"/>
      <c r="L180" s="42"/>
    </row>
    <row r="181" spans="1:12" x14ac:dyDescent="0.2">
      <c r="A181" s="20" t="s">
        <v>177</v>
      </c>
      <c r="B181" s="93"/>
      <c r="C181" s="41"/>
      <c r="D181" s="41"/>
      <c r="E181" s="41"/>
      <c r="F181" s="41"/>
      <c r="G181" s="41"/>
      <c r="H181" s="41"/>
      <c r="I181" s="42"/>
      <c r="J181" s="42"/>
      <c r="K181" s="42"/>
      <c r="L181" s="42"/>
    </row>
    <row r="182" spans="1:12" x14ac:dyDescent="0.2">
      <c r="A182" s="34" t="s">
        <v>156</v>
      </c>
      <c r="B182" s="60">
        <v>865443</v>
      </c>
      <c r="C182" s="60">
        <v>162165</v>
      </c>
      <c r="D182" s="60">
        <v>21393</v>
      </c>
      <c r="E182" s="60">
        <v>39204</v>
      </c>
      <c r="F182" s="60">
        <v>59138</v>
      </c>
      <c r="G182" s="60">
        <v>39856</v>
      </c>
      <c r="H182" s="60">
        <v>8852</v>
      </c>
      <c r="I182" s="42"/>
      <c r="J182" s="42"/>
      <c r="K182" s="42"/>
      <c r="L182" s="42"/>
    </row>
    <row r="183" spans="1:12" x14ac:dyDescent="0.2">
      <c r="A183" s="34" t="s">
        <v>157</v>
      </c>
      <c r="B183" s="60">
        <v>878353</v>
      </c>
      <c r="C183" s="60">
        <v>163423</v>
      </c>
      <c r="D183" s="60">
        <v>22749</v>
      </c>
      <c r="E183" s="60">
        <v>40040</v>
      </c>
      <c r="F183" s="60">
        <v>59520</v>
      </c>
      <c r="G183" s="60">
        <v>39519</v>
      </c>
      <c r="H183" s="60">
        <v>9304</v>
      </c>
      <c r="I183" s="42"/>
      <c r="J183" s="42"/>
      <c r="K183" s="42"/>
      <c r="L183" s="42"/>
    </row>
    <row r="184" spans="1:12" x14ac:dyDescent="0.2">
      <c r="A184" s="34" t="s">
        <v>158</v>
      </c>
      <c r="B184" s="60">
        <v>888186</v>
      </c>
      <c r="C184" s="60">
        <v>164190</v>
      </c>
      <c r="D184" s="60">
        <v>24364</v>
      </c>
      <c r="E184" s="60">
        <v>40105</v>
      </c>
      <c r="F184" s="60">
        <v>59503</v>
      </c>
      <c r="G184" s="60">
        <v>38832</v>
      </c>
      <c r="H184" s="60">
        <v>9760</v>
      </c>
      <c r="I184" s="42"/>
      <c r="J184" s="42"/>
      <c r="K184" s="42"/>
      <c r="L184" s="42"/>
    </row>
    <row r="185" spans="1:12" x14ac:dyDescent="0.2">
      <c r="A185" s="34" t="s">
        <v>159</v>
      </c>
      <c r="B185" s="60">
        <v>899310</v>
      </c>
      <c r="C185" s="60">
        <v>164737</v>
      </c>
      <c r="D185" s="60">
        <v>26125</v>
      </c>
      <c r="E185" s="60">
        <v>40272</v>
      </c>
      <c r="F185" s="60">
        <v>59226</v>
      </c>
      <c r="G185" s="60">
        <v>38018</v>
      </c>
      <c r="H185" s="60">
        <v>10276</v>
      </c>
      <c r="I185" s="42"/>
      <c r="J185" s="42"/>
      <c r="K185" s="42"/>
      <c r="L185" s="42"/>
    </row>
    <row r="186" spans="1:12" x14ac:dyDescent="0.2">
      <c r="A186" s="34" t="s">
        <v>160</v>
      </c>
      <c r="B186" s="60">
        <v>907082</v>
      </c>
      <c r="C186" s="60">
        <v>166166</v>
      </c>
      <c r="D186" s="60">
        <v>27867</v>
      </c>
      <c r="E186" s="60">
        <v>40507</v>
      </c>
      <c r="F186" s="60">
        <v>59536</v>
      </c>
      <c r="G186" s="60">
        <v>37389</v>
      </c>
      <c r="H186" s="60">
        <v>10879</v>
      </c>
      <c r="I186" s="42"/>
      <c r="J186" s="42"/>
      <c r="K186" s="42"/>
      <c r="L186" s="42"/>
    </row>
    <row r="187" spans="1:12" x14ac:dyDescent="0.2">
      <c r="A187" s="34" t="s">
        <v>161</v>
      </c>
      <c r="B187" s="60">
        <v>935785</v>
      </c>
      <c r="C187" s="60">
        <v>163613</v>
      </c>
      <c r="D187" s="60">
        <v>25875</v>
      </c>
      <c r="E187" s="60">
        <v>40760</v>
      </c>
      <c r="F187" s="60">
        <v>59062</v>
      </c>
      <c r="G187" s="60">
        <v>36584</v>
      </c>
      <c r="H187" s="60">
        <v>11439</v>
      </c>
      <c r="I187" s="42"/>
      <c r="J187" s="42"/>
      <c r="K187" s="42"/>
      <c r="L187" s="42"/>
    </row>
    <row r="188" spans="1:12" x14ac:dyDescent="0.2">
      <c r="A188" s="34" t="s">
        <v>162</v>
      </c>
      <c r="B188" s="60">
        <v>951773</v>
      </c>
      <c r="C188" s="60">
        <v>162743</v>
      </c>
      <c r="D188" s="60">
        <v>25038</v>
      </c>
      <c r="E188" s="60">
        <v>41006</v>
      </c>
      <c r="F188" s="60">
        <v>58274</v>
      </c>
      <c r="G188" s="60">
        <v>35833</v>
      </c>
      <c r="H188" s="60">
        <v>11901</v>
      </c>
      <c r="I188" s="42"/>
      <c r="J188" s="42"/>
      <c r="K188" s="42"/>
      <c r="L188" s="42"/>
    </row>
    <row r="189" spans="1:12" x14ac:dyDescent="0.2">
      <c r="A189" s="34" t="s">
        <v>163</v>
      </c>
      <c r="B189" s="60">
        <v>950924</v>
      </c>
      <c r="C189" s="60">
        <v>162217</v>
      </c>
      <c r="D189" s="60">
        <v>24982</v>
      </c>
      <c r="E189" s="60">
        <v>40954</v>
      </c>
      <c r="F189" s="60">
        <v>57632</v>
      </c>
      <c r="G189" s="60">
        <v>35081</v>
      </c>
      <c r="H189" s="60">
        <v>12282</v>
      </c>
      <c r="I189" s="42"/>
      <c r="J189" s="42"/>
      <c r="K189" s="42"/>
      <c r="L189" s="42"/>
    </row>
    <row r="190" spans="1:12" x14ac:dyDescent="0.2">
      <c r="A190" s="34" t="s">
        <v>164</v>
      </c>
      <c r="B190" s="60">
        <v>963474</v>
      </c>
      <c r="C190" s="60">
        <v>162313</v>
      </c>
      <c r="D190" s="60">
        <v>25197</v>
      </c>
      <c r="E190" s="60">
        <v>42210</v>
      </c>
      <c r="F190" s="60">
        <v>57521</v>
      </c>
      <c r="G190" s="60">
        <v>34500</v>
      </c>
      <c r="H190" s="60">
        <v>12699</v>
      </c>
      <c r="I190" s="42"/>
      <c r="J190" s="42"/>
      <c r="L190" s="42"/>
    </row>
    <row r="191" spans="1:12" x14ac:dyDescent="0.2">
      <c r="A191" s="34" t="s">
        <v>165</v>
      </c>
      <c r="B191" s="60">
        <v>976333</v>
      </c>
      <c r="C191" s="60">
        <v>161809</v>
      </c>
      <c r="D191" s="60">
        <v>24956</v>
      </c>
      <c r="E191" s="60">
        <v>41132</v>
      </c>
      <c r="F191" s="60">
        <v>57092</v>
      </c>
      <c r="G191" s="60">
        <v>34001</v>
      </c>
      <c r="H191" s="60">
        <v>13223</v>
      </c>
      <c r="I191" s="42"/>
      <c r="J191" s="42"/>
      <c r="K191" s="42"/>
      <c r="L191" s="42"/>
    </row>
    <row r="192" spans="1:12" x14ac:dyDescent="0.2">
      <c r="A192" s="34" t="s">
        <v>166</v>
      </c>
      <c r="B192" s="60">
        <v>992567</v>
      </c>
      <c r="C192" s="60">
        <v>161008</v>
      </c>
      <c r="D192" s="60">
        <v>25026</v>
      </c>
      <c r="E192" s="60">
        <v>41050</v>
      </c>
      <c r="F192" s="60">
        <v>56855</v>
      </c>
      <c r="G192" s="60">
        <v>33258</v>
      </c>
      <c r="H192" s="60">
        <v>13665</v>
      </c>
      <c r="I192" s="42"/>
      <c r="J192" s="42"/>
      <c r="K192" s="42"/>
      <c r="L192" s="42"/>
    </row>
    <row r="193" spans="1:12" x14ac:dyDescent="0.2">
      <c r="A193" s="34" t="s">
        <v>168</v>
      </c>
      <c r="B193" s="60">
        <v>1009478</v>
      </c>
      <c r="C193" s="60">
        <v>161310</v>
      </c>
      <c r="D193" s="60">
        <v>25143</v>
      </c>
      <c r="E193" s="60">
        <v>41012</v>
      </c>
      <c r="F193" s="60">
        <v>56514</v>
      </c>
      <c r="G193" s="60">
        <v>32729</v>
      </c>
      <c r="H193" s="60">
        <v>14525</v>
      </c>
      <c r="I193" s="42"/>
      <c r="J193" s="42"/>
      <c r="K193" s="42"/>
      <c r="L193" s="42"/>
    </row>
    <row r="194" spans="1:12" x14ac:dyDescent="0.2">
      <c r="A194" s="34" t="s">
        <v>195</v>
      </c>
      <c r="B194" s="60">
        <v>1032050</v>
      </c>
      <c r="C194" s="60">
        <v>160965</v>
      </c>
      <c r="D194" s="60">
        <v>25027</v>
      </c>
      <c r="E194" s="60">
        <v>41227</v>
      </c>
      <c r="F194" s="60">
        <v>56576</v>
      </c>
      <c r="G194" s="60">
        <v>32248</v>
      </c>
      <c r="H194" s="60">
        <v>15787</v>
      </c>
      <c r="I194" s="42"/>
      <c r="J194" s="42"/>
      <c r="K194" s="42"/>
      <c r="L194" s="42"/>
    </row>
    <row r="195" spans="1:12" x14ac:dyDescent="0.2">
      <c r="A195" s="26" t="s">
        <v>196</v>
      </c>
      <c r="B195" s="60">
        <v>1039548</v>
      </c>
      <c r="C195" s="60">
        <v>158888</v>
      </c>
      <c r="D195" s="60">
        <v>24641</v>
      </c>
      <c r="E195" s="60">
        <v>40908</v>
      </c>
      <c r="F195" s="60">
        <v>56898</v>
      </c>
      <c r="G195" s="60">
        <v>31486</v>
      </c>
      <c r="H195" s="60">
        <v>16774</v>
      </c>
      <c r="I195" s="42"/>
      <c r="J195" s="42"/>
      <c r="K195" s="42"/>
      <c r="L195" s="42"/>
    </row>
    <row r="196" spans="1:12" x14ac:dyDescent="0.2">
      <c r="A196" s="26" t="s">
        <v>210</v>
      </c>
      <c r="B196" s="60">
        <v>1057866</v>
      </c>
      <c r="C196" s="60">
        <v>157461</v>
      </c>
      <c r="D196" s="60">
        <v>24193</v>
      </c>
      <c r="E196" s="60">
        <v>40754</v>
      </c>
      <c r="F196" s="60">
        <v>57791</v>
      </c>
      <c r="G196" s="60">
        <v>31220</v>
      </c>
      <c r="H196" s="60">
        <v>17640</v>
      </c>
      <c r="I196" s="42"/>
      <c r="J196" s="42"/>
      <c r="K196" s="42"/>
      <c r="L196" s="42"/>
    </row>
    <row r="197" spans="1:12" x14ac:dyDescent="0.2">
      <c r="A197" s="34" t="s">
        <v>222</v>
      </c>
      <c r="B197" s="60">
        <v>1074955</v>
      </c>
      <c r="C197" s="60">
        <v>154707</v>
      </c>
      <c r="D197" s="60">
        <v>22946</v>
      </c>
      <c r="E197" s="60">
        <v>40338</v>
      </c>
      <c r="F197" s="60">
        <v>58264</v>
      </c>
      <c r="G197" s="60">
        <v>30691</v>
      </c>
      <c r="H197" s="60">
        <v>18254</v>
      </c>
      <c r="I197" s="42">
        <v>3673</v>
      </c>
      <c r="J197" s="42"/>
      <c r="K197" s="42"/>
      <c r="L197" s="42"/>
    </row>
    <row r="198" spans="1:12" x14ac:dyDescent="0.2">
      <c r="A198" s="21" t="s">
        <v>178</v>
      </c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</row>
    <row r="199" spans="1:12" x14ac:dyDescent="0.2">
      <c r="A199" s="34" t="s">
        <v>156</v>
      </c>
      <c r="B199" s="42">
        <v>69950</v>
      </c>
      <c r="C199" s="42">
        <v>1189</v>
      </c>
      <c r="D199" s="42">
        <v>12</v>
      </c>
      <c r="E199" s="42">
        <v>355</v>
      </c>
      <c r="F199" s="42">
        <v>173</v>
      </c>
      <c r="G199" s="42">
        <v>143</v>
      </c>
      <c r="H199" s="42">
        <v>26</v>
      </c>
      <c r="I199" s="42"/>
      <c r="J199" s="42"/>
      <c r="K199" s="42"/>
      <c r="L199" s="42"/>
    </row>
    <row r="200" spans="1:12" x14ac:dyDescent="0.2">
      <c r="A200" s="34" t="s">
        <v>157</v>
      </c>
      <c r="B200" s="42">
        <v>71919</v>
      </c>
      <c r="C200" s="42">
        <v>1113</v>
      </c>
      <c r="D200" s="42">
        <v>16</v>
      </c>
      <c r="E200" s="42">
        <v>408</v>
      </c>
      <c r="F200" s="42">
        <v>215</v>
      </c>
      <c r="G200" s="42">
        <v>147</v>
      </c>
      <c r="H200" s="42">
        <v>23</v>
      </c>
      <c r="I200" s="42"/>
      <c r="J200" s="42"/>
      <c r="K200" s="42"/>
      <c r="L200" s="42"/>
    </row>
    <row r="201" spans="1:12" x14ac:dyDescent="0.2">
      <c r="A201" s="34" t="s">
        <v>158</v>
      </c>
      <c r="B201" s="42">
        <v>68404</v>
      </c>
      <c r="C201" s="42">
        <v>1102</v>
      </c>
      <c r="D201" s="42">
        <v>18</v>
      </c>
      <c r="E201" s="42">
        <v>420</v>
      </c>
      <c r="F201" s="42">
        <v>285</v>
      </c>
      <c r="G201" s="42">
        <v>161</v>
      </c>
      <c r="H201" s="42">
        <v>33</v>
      </c>
      <c r="I201" s="42"/>
      <c r="J201" s="42"/>
      <c r="K201" s="42"/>
      <c r="L201" s="42"/>
    </row>
    <row r="202" spans="1:12" x14ac:dyDescent="0.2">
      <c r="A202" s="34" t="s">
        <v>159</v>
      </c>
      <c r="B202" s="42">
        <v>66785</v>
      </c>
      <c r="C202" s="42">
        <v>1239</v>
      </c>
      <c r="D202" s="42">
        <v>16</v>
      </c>
      <c r="E202" s="42">
        <v>419</v>
      </c>
      <c r="F202" s="42">
        <v>301</v>
      </c>
      <c r="G202" s="42">
        <v>148</v>
      </c>
      <c r="H202" s="42">
        <v>40</v>
      </c>
      <c r="I202" s="42"/>
      <c r="J202" s="42"/>
      <c r="K202" s="42"/>
      <c r="L202" s="42"/>
    </row>
    <row r="203" spans="1:12" x14ac:dyDescent="0.2">
      <c r="A203" s="34" t="s">
        <v>160</v>
      </c>
      <c r="B203" s="42">
        <v>67399</v>
      </c>
      <c r="C203" s="42">
        <v>1316</v>
      </c>
      <c r="D203" s="42">
        <v>21</v>
      </c>
      <c r="E203" s="42">
        <v>442</v>
      </c>
      <c r="F203" s="42">
        <v>339</v>
      </c>
      <c r="G203" s="42">
        <v>139</v>
      </c>
      <c r="H203" s="42">
        <v>35</v>
      </c>
      <c r="I203" s="42"/>
      <c r="J203" s="42"/>
      <c r="K203" s="42"/>
      <c r="L203" s="42"/>
    </row>
    <row r="204" spans="1:12" x14ac:dyDescent="0.2">
      <c r="A204" s="34" t="s">
        <v>161</v>
      </c>
      <c r="B204" s="42">
        <v>53110</v>
      </c>
      <c r="C204" s="42">
        <v>1113</v>
      </c>
      <c r="D204" s="42">
        <v>12</v>
      </c>
      <c r="E204" s="42">
        <v>288</v>
      </c>
      <c r="F204" s="42">
        <v>237</v>
      </c>
      <c r="G204" s="42">
        <v>90</v>
      </c>
      <c r="H204" s="42">
        <v>26</v>
      </c>
      <c r="I204" s="42"/>
      <c r="J204" s="42"/>
      <c r="K204" s="42"/>
      <c r="L204" s="42"/>
    </row>
    <row r="205" spans="1:12" x14ac:dyDescent="0.2">
      <c r="A205" s="34" t="s">
        <v>162</v>
      </c>
      <c r="B205" s="42">
        <v>50569</v>
      </c>
      <c r="C205" s="42">
        <v>1074</v>
      </c>
      <c r="D205" s="42">
        <v>9</v>
      </c>
      <c r="E205" s="42">
        <v>253</v>
      </c>
      <c r="F205" s="42">
        <v>190</v>
      </c>
      <c r="G205" s="42">
        <v>73</v>
      </c>
      <c r="H205" s="42">
        <v>22</v>
      </c>
      <c r="I205" s="42"/>
      <c r="J205" s="42"/>
      <c r="K205" s="42"/>
      <c r="L205" s="42"/>
    </row>
    <row r="206" spans="1:12" x14ac:dyDescent="0.2">
      <c r="A206" s="34" t="s">
        <v>163</v>
      </c>
      <c r="B206" s="42">
        <v>65402</v>
      </c>
      <c r="C206" s="42">
        <v>1432</v>
      </c>
      <c r="D206" s="42">
        <v>10</v>
      </c>
      <c r="E206" s="42">
        <v>301</v>
      </c>
      <c r="F206" s="42">
        <v>193</v>
      </c>
      <c r="G206" s="42">
        <v>107</v>
      </c>
      <c r="H206" s="42">
        <v>21</v>
      </c>
      <c r="I206" s="42"/>
      <c r="J206" s="42"/>
      <c r="K206" s="42"/>
    </row>
    <row r="207" spans="1:12" x14ac:dyDescent="0.2">
      <c r="A207" s="34" t="s">
        <v>164</v>
      </c>
      <c r="B207" s="42">
        <v>67180</v>
      </c>
      <c r="C207" s="42">
        <v>1583</v>
      </c>
      <c r="D207" s="42">
        <v>10</v>
      </c>
      <c r="E207" s="42">
        <v>275</v>
      </c>
      <c r="F207" s="42">
        <v>211</v>
      </c>
      <c r="G207" s="42">
        <v>118</v>
      </c>
      <c r="H207" s="42">
        <v>13</v>
      </c>
      <c r="I207" s="42"/>
      <c r="J207" s="42"/>
      <c r="K207" s="42"/>
    </row>
    <row r="208" spans="1:12" x14ac:dyDescent="0.2">
      <c r="A208" s="34" t="s">
        <v>165</v>
      </c>
      <c r="B208" s="42">
        <v>66096</v>
      </c>
      <c r="C208" s="42">
        <v>1653</v>
      </c>
      <c r="D208" s="42">
        <v>5</v>
      </c>
      <c r="E208" s="42">
        <v>250</v>
      </c>
      <c r="F208" s="42">
        <v>186</v>
      </c>
      <c r="G208" s="42">
        <v>114</v>
      </c>
      <c r="H208" s="42">
        <v>18</v>
      </c>
      <c r="I208" s="42"/>
    </row>
    <row r="209" spans="1:12" x14ac:dyDescent="0.2">
      <c r="A209" s="34" t="s">
        <v>166</v>
      </c>
      <c r="B209" s="42">
        <v>62501</v>
      </c>
      <c r="C209" s="42">
        <v>1603</v>
      </c>
      <c r="D209" s="42">
        <v>15</v>
      </c>
      <c r="E209" s="42">
        <v>204</v>
      </c>
      <c r="F209" s="42">
        <v>143</v>
      </c>
      <c r="G209" s="42">
        <v>99</v>
      </c>
      <c r="H209" s="42">
        <v>16</v>
      </c>
      <c r="I209" s="42"/>
    </row>
    <row r="210" spans="1:12" x14ac:dyDescent="0.2">
      <c r="A210" s="34" t="s">
        <v>168</v>
      </c>
      <c r="B210" s="42">
        <v>64714</v>
      </c>
      <c r="C210" s="42">
        <v>1516</v>
      </c>
      <c r="D210" s="42">
        <v>7</v>
      </c>
      <c r="E210" s="42">
        <v>199</v>
      </c>
      <c r="F210" s="42">
        <v>156</v>
      </c>
      <c r="G210" s="42">
        <v>89</v>
      </c>
      <c r="H210" s="42">
        <v>9</v>
      </c>
      <c r="I210" s="42"/>
      <c r="K210" s="34"/>
      <c r="L210" s="42"/>
    </row>
    <row r="211" spans="1:12" x14ac:dyDescent="0.2">
      <c r="A211" s="34" t="s">
        <v>195</v>
      </c>
      <c r="B211" s="42">
        <v>67637</v>
      </c>
      <c r="C211" s="42">
        <v>1241</v>
      </c>
      <c r="D211" s="42">
        <v>6</v>
      </c>
      <c r="E211" s="42">
        <v>238</v>
      </c>
      <c r="F211" s="42">
        <v>141</v>
      </c>
      <c r="G211" s="42">
        <v>88</v>
      </c>
      <c r="H211" s="42">
        <v>12</v>
      </c>
      <c r="I211" s="42"/>
      <c r="K211" s="34"/>
      <c r="L211" s="42"/>
    </row>
    <row r="212" spans="1:12" x14ac:dyDescent="0.2">
      <c r="A212" s="26" t="s">
        <v>196</v>
      </c>
      <c r="B212" s="42">
        <v>70787</v>
      </c>
      <c r="C212" s="42">
        <v>990</v>
      </c>
      <c r="D212" s="42">
        <v>12</v>
      </c>
      <c r="E212" s="42">
        <v>232</v>
      </c>
      <c r="F212" s="42">
        <v>184</v>
      </c>
      <c r="G212" s="42">
        <v>86</v>
      </c>
      <c r="H212" s="42">
        <v>15</v>
      </c>
      <c r="I212" s="42"/>
      <c r="K212" s="34"/>
      <c r="L212" s="42"/>
    </row>
    <row r="213" spans="1:12" x14ac:dyDescent="0.2">
      <c r="A213" s="26" t="s">
        <v>210</v>
      </c>
      <c r="B213" s="42">
        <v>70795</v>
      </c>
      <c r="C213" s="42">
        <v>836</v>
      </c>
      <c r="D213" s="42">
        <v>14</v>
      </c>
      <c r="E213" s="42">
        <v>253</v>
      </c>
      <c r="F213" s="42">
        <v>198</v>
      </c>
      <c r="G213" s="42">
        <v>90</v>
      </c>
      <c r="H213" s="42">
        <v>18</v>
      </c>
      <c r="I213" s="42"/>
      <c r="K213" s="34"/>
      <c r="L213" s="42"/>
    </row>
    <row r="214" spans="1:12" x14ac:dyDescent="0.2">
      <c r="A214" s="34" t="s">
        <v>222</v>
      </c>
      <c r="B214" s="42">
        <v>74532</v>
      </c>
      <c r="C214" s="42">
        <v>710</v>
      </c>
      <c r="D214" s="42">
        <v>11</v>
      </c>
      <c r="E214" s="42">
        <v>248</v>
      </c>
      <c r="F214" s="42">
        <v>177</v>
      </c>
      <c r="G214" s="42">
        <v>101</v>
      </c>
      <c r="H214" s="42">
        <v>20</v>
      </c>
      <c r="I214" s="42"/>
      <c r="K214" s="34"/>
      <c r="L214" s="42"/>
    </row>
    <row r="215" spans="1:12" x14ac:dyDescent="0.2">
      <c r="A215" s="21" t="s">
        <v>179</v>
      </c>
      <c r="B215" s="42"/>
      <c r="C215" s="42"/>
      <c r="D215" s="42"/>
      <c r="E215" s="42"/>
      <c r="F215" s="42"/>
      <c r="G215" s="42"/>
      <c r="H215" s="42"/>
      <c r="I215" s="42"/>
      <c r="K215" s="26"/>
      <c r="L215" s="42"/>
    </row>
    <row r="216" spans="1:12" x14ac:dyDescent="0.2">
      <c r="A216" s="34" t="s">
        <v>156</v>
      </c>
      <c r="B216" s="42">
        <v>36681</v>
      </c>
      <c r="C216" s="42">
        <v>5667</v>
      </c>
      <c r="D216" s="42">
        <v>1</v>
      </c>
      <c r="E216" s="42">
        <v>3</v>
      </c>
      <c r="F216" s="42">
        <v>7</v>
      </c>
      <c r="G216" s="42">
        <v>365</v>
      </c>
      <c r="H216" s="42">
        <v>0</v>
      </c>
      <c r="I216" s="42"/>
    </row>
    <row r="217" spans="1:12" x14ac:dyDescent="0.2">
      <c r="A217" s="34" t="s">
        <v>157</v>
      </c>
      <c r="B217" s="42">
        <v>38544</v>
      </c>
      <c r="C217" s="42">
        <v>6168</v>
      </c>
      <c r="D217" s="42">
        <v>1</v>
      </c>
      <c r="E217" s="42">
        <v>4</v>
      </c>
      <c r="F217" s="42">
        <v>10</v>
      </c>
      <c r="G217" s="42">
        <v>353</v>
      </c>
      <c r="H217" s="42">
        <v>0</v>
      </c>
      <c r="I217" s="42"/>
    </row>
    <row r="218" spans="1:12" x14ac:dyDescent="0.2">
      <c r="A218" s="34" t="s">
        <v>158</v>
      </c>
      <c r="B218" s="42">
        <v>43408</v>
      </c>
      <c r="C218" s="42">
        <v>7029</v>
      </c>
      <c r="D218" s="42">
        <v>0</v>
      </c>
      <c r="E218" s="42">
        <v>6</v>
      </c>
      <c r="F218" s="42">
        <v>7</v>
      </c>
      <c r="G218" s="42">
        <v>367</v>
      </c>
      <c r="H218" s="42">
        <v>0</v>
      </c>
      <c r="I218" s="42"/>
    </row>
    <row r="219" spans="1:12" x14ac:dyDescent="0.2">
      <c r="A219" s="34" t="s">
        <v>159</v>
      </c>
      <c r="B219" s="42">
        <v>42634</v>
      </c>
      <c r="C219" s="42">
        <v>7425</v>
      </c>
      <c r="D219" s="42">
        <v>0</v>
      </c>
      <c r="E219" s="42">
        <v>2</v>
      </c>
      <c r="F219" s="42">
        <v>7</v>
      </c>
      <c r="G219" s="42">
        <v>262</v>
      </c>
      <c r="H219" s="42">
        <v>0</v>
      </c>
    </row>
    <row r="220" spans="1:12" x14ac:dyDescent="0.2">
      <c r="A220" s="34" t="s">
        <v>160</v>
      </c>
      <c r="B220" s="42">
        <v>42553</v>
      </c>
      <c r="C220" s="42">
        <v>7312</v>
      </c>
      <c r="D220" s="42">
        <v>0</v>
      </c>
      <c r="E220" s="42">
        <v>2</v>
      </c>
      <c r="F220" s="42">
        <v>8</v>
      </c>
      <c r="G220" s="42">
        <v>241</v>
      </c>
      <c r="H220" s="42">
        <v>0</v>
      </c>
    </row>
    <row r="221" spans="1:12" x14ac:dyDescent="0.2">
      <c r="A221" s="34" t="s">
        <v>161</v>
      </c>
      <c r="B221" s="42">
        <v>43100</v>
      </c>
      <c r="C221" s="42">
        <v>7781</v>
      </c>
      <c r="D221" s="42">
        <v>0</v>
      </c>
      <c r="E221" s="42">
        <v>2</v>
      </c>
      <c r="F221" s="42">
        <v>6</v>
      </c>
      <c r="G221" s="42">
        <v>220</v>
      </c>
      <c r="H221" s="42">
        <v>0</v>
      </c>
    </row>
    <row r="222" spans="1:12" x14ac:dyDescent="0.2">
      <c r="A222" s="34" t="s">
        <v>162</v>
      </c>
      <c r="B222" s="42">
        <v>45569</v>
      </c>
      <c r="C222" s="42">
        <v>7587</v>
      </c>
      <c r="D222" s="42">
        <v>0</v>
      </c>
      <c r="E222" s="42">
        <v>1</v>
      </c>
      <c r="F222" s="42">
        <v>7</v>
      </c>
      <c r="G222" s="42">
        <v>176</v>
      </c>
      <c r="H222" s="42">
        <v>1</v>
      </c>
    </row>
    <row r="223" spans="1:12" x14ac:dyDescent="0.2">
      <c r="A223" s="34" t="s">
        <v>163</v>
      </c>
      <c r="B223" s="42">
        <v>45379</v>
      </c>
      <c r="C223" s="42">
        <v>7719</v>
      </c>
      <c r="D223" s="42">
        <v>0</v>
      </c>
      <c r="E223" s="42">
        <v>2</v>
      </c>
      <c r="F223" s="42">
        <v>5</v>
      </c>
      <c r="G223" s="42">
        <v>185</v>
      </c>
      <c r="H223" s="42">
        <v>2</v>
      </c>
    </row>
    <row r="224" spans="1:12" x14ac:dyDescent="0.2">
      <c r="A224" s="34" t="s">
        <v>164</v>
      </c>
      <c r="B224" s="42">
        <v>47349</v>
      </c>
      <c r="C224" s="42">
        <v>7924</v>
      </c>
      <c r="D224" s="42">
        <v>0</v>
      </c>
      <c r="E224" s="42">
        <v>2</v>
      </c>
      <c r="F224" s="42">
        <v>4</v>
      </c>
      <c r="G224" s="42">
        <v>205</v>
      </c>
      <c r="H224" s="42">
        <v>1</v>
      </c>
      <c r="I224" s="42"/>
    </row>
    <row r="225" spans="1:11" x14ac:dyDescent="0.2">
      <c r="A225" s="34" t="s">
        <v>165</v>
      </c>
      <c r="B225" s="42">
        <v>48126</v>
      </c>
      <c r="C225" s="42">
        <v>7727</v>
      </c>
      <c r="D225" s="42">
        <v>0</v>
      </c>
      <c r="E225" s="42">
        <v>1</v>
      </c>
      <c r="F225" s="42">
        <v>6</v>
      </c>
      <c r="G225" s="42">
        <v>199</v>
      </c>
      <c r="H225" s="42">
        <v>1</v>
      </c>
      <c r="I225" s="42"/>
    </row>
    <row r="226" spans="1:11" x14ac:dyDescent="0.2">
      <c r="A226" s="34" t="s">
        <v>166</v>
      </c>
      <c r="B226" s="42">
        <v>50094</v>
      </c>
      <c r="C226" s="42">
        <v>7445</v>
      </c>
      <c r="D226" s="42">
        <v>0</v>
      </c>
      <c r="E226" s="42">
        <v>2</v>
      </c>
      <c r="F226" s="42">
        <v>4</v>
      </c>
      <c r="G226" s="42">
        <v>199</v>
      </c>
      <c r="H226" s="42">
        <v>1</v>
      </c>
      <c r="I226" s="42"/>
    </row>
    <row r="227" spans="1:11" x14ac:dyDescent="0.2">
      <c r="A227" s="34" t="s">
        <v>168</v>
      </c>
      <c r="B227" s="42">
        <v>53964</v>
      </c>
      <c r="C227" s="42">
        <v>8492</v>
      </c>
      <c r="D227" s="42">
        <v>0</v>
      </c>
      <c r="E227" s="42">
        <v>2</v>
      </c>
      <c r="F227" s="42">
        <v>8</v>
      </c>
      <c r="G227" s="42">
        <v>269</v>
      </c>
      <c r="H227" s="42">
        <v>2</v>
      </c>
      <c r="I227" s="42"/>
      <c r="J227" s="42"/>
      <c r="K227" s="42"/>
    </row>
    <row r="228" spans="1:11" x14ac:dyDescent="0.2">
      <c r="A228" s="34" t="s">
        <v>195</v>
      </c>
      <c r="B228" s="42">
        <v>57553</v>
      </c>
      <c r="C228" s="42">
        <v>9558</v>
      </c>
      <c r="D228" s="42">
        <v>0</v>
      </c>
      <c r="E228" s="42">
        <v>2</v>
      </c>
      <c r="F228" s="42">
        <v>10</v>
      </c>
      <c r="G228" s="42">
        <v>249</v>
      </c>
      <c r="H228" s="42">
        <v>1</v>
      </c>
      <c r="I228" s="42"/>
      <c r="J228" s="42"/>
      <c r="K228" s="42"/>
    </row>
    <row r="229" spans="1:11" x14ac:dyDescent="0.2">
      <c r="A229" s="34" t="s">
        <v>196</v>
      </c>
      <c r="B229" s="42">
        <v>61664</v>
      </c>
      <c r="C229" s="42">
        <v>9771</v>
      </c>
      <c r="D229" s="42">
        <v>0</v>
      </c>
      <c r="E229" s="42">
        <v>2</v>
      </c>
      <c r="F229" s="42">
        <v>4</v>
      </c>
      <c r="G229" s="42">
        <v>263</v>
      </c>
      <c r="H229" s="42">
        <v>0</v>
      </c>
      <c r="I229" s="42"/>
      <c r="J229" s="42"/>
      <c r="K229" s="42"/>
    </row>
    <row r="230" spans="1:11" x14ac:dyDescent="0.2">
      <c r="A230" s="34" t="s">
        <v>210</v>
      </c>
      <c r="B230" s="42">
        <v>65315</v>
      </c>
      <c r="C230" s="42">
        <v>10142</v>
      </c>
      <c r="D230" s="42">
        <v>0</v>
      </c>
      <c r="E230" s="42">
        <v>2</v>
      </c>
      <c r="F230" s="42">
        <v>6</v>
      </c>
      <c r="G230" s="42">
        <v>251</v>
      </c>
      <c r="H230" s="42">
        <v>2</v>
      </c>
      <c r="I230" s="42"/>
      <c r="J230" s="42"/>
      <c r="K230" s="42"/>
    </row>
    <row r="231" spans="1:11" x14ac:dyDescent="0.2">
      <c r="A231" s="43" t="s">
        <v>222</v>
      </c>
      <c r="B231" s="44">
        <v>65915</v>
      </c>
      <c r="C231" s="44">
        <v>9866</v>
      </c>
      <c r="D231" s="44">
        <v>0</v>
      </c>
      <c r="E231" s="44">
        <v>1</v>
      </c>
      <c r="F231" s="44">
        <v>8</v>
      </c>
      <c r="G231" s="44">
        <v>189</v>
      </c>
      <c r="H231" s="44">
        <v>1</v>
      </c>
      <c r="I231" s="44"/>
      <c r="J231" s="42"/>
      <c r="K231" s="42"/>
    </row>
    <row r="232" spans="1:11" x14ac:dyDescent="0.2">
      <c r="A232" s="34" t="s">
        <v>18</v>
      </c>
      <c r="B232" s="42"/>
      <c r="C232" s="42"/>
      <c r="D232" s="42"/>
      <c r="E232" s="42"/>
      <c r="F232" s="42"/>
      <c r="G232" s="42"/>
      <c r="H232" s="42"/>
      <c r="I232" s="42"/>
      <c r="J232" s="42"/>
      <c r="K232" s="42"/>
    </row>
    <row r="233" spans="1:11" x14ac:dyDescent="0.2">
      <c r="A233" s="48" t="s">
        <v>241</v>
      </c>
      <c r="B233" s="42"/>
      <c r="C233" s="42"/>
      <c r="D233" s="42"/>
      <c r="E233" s="42"/>
      <c r="F233" s="42"/>
      <c r="G233" s="42"/>
      <c r="H233" s="42"/>
      <c r="I233" s="42"/>
      <c r="J233" s="42"/>
      <c r="K233" s="42"/>
    </row>
    <row r="234" spans="1:11" x14ac:dyDescent="0.2">
      <c r="I234" s="42"/>
      <c r="J234" s="42"/>
      <c r="K234" s="42"/>
    </row>
    <row r="235" spans="1:11" x14ac:dyDescent="0.2">
      <c r="A235" s="27" t="s">
        <v>271</v>
      </c>
      <c r="B235" s="92"/>
      <c r="C235" s="92"/>
      <c r="D235" s="92"/>
      <c r="E235" s="92"/>
      <c r="F235" s="92"/>
      <c r="G235" s="92"/>
      <c r="H235" s="92"/>
      <c r="I235" s="42"/>
      <c r="J235" s="42"/>
      <c r="K235" s="42"/>
    </row>
    <row r="236" spans="1:11" x14ac:dyDescent="0.2">
      <c r="A236" s="210" t="s">
        <v>154</v>
      </c>
      <c r="D236" s="212" t="s">
        <v>169</v>
      </c>
      <c r="E236" s="212"/>
      <c r="F236" s="212"/>
      <c r="G236" s="212"/>
      <c r="H236" s="212"/>
      <c r="I236" s="42"/>
      <c r="J236" s="42"/>
      <c r="K236" s="42"/>
    </row>
    <row r="237" spans="1:11" ht="25.5" x14ac:dyDescent="0.2">
      <c r="A237" s="211"/>
      <c r="B237" s="40" t="s">
        <v>170</v>
      </c>
      <c r="C237" s="40" t="s">
        <v>171</v>
      </c>
      <c r="D237" s="40" t="s">
        <v>172</v>
      </c>
      <c r="E237" s="40" t="s">
        <v>173</v>
      </c>
      <c r="F237" s="40" t="s">
        <v>174</v>
      </c>
      <c r="G237" s="40" t="s">
        <v>175</v>
      </c>
      <c r="H237" s="40" t="s">
        <v>176</v>
      </c>
      <c r="I237" s="42"/>
      <c r="J237" s="42"/>
      <c r="K237" s="42"/>
    </row>
    <row r="238" spans="1:11" x14ac:dyDescent="0.2">
      <c r="A238" s="20" t="s">
        <v>177</v>
      </c>
      <c r="B238" s="93"/>
      <c r="C238" s="41"/>
      <c r="D238" s="41"/>
      <c r="E238" s="41"/>
      <c r="F238" s="41"/>
      <c r="G238" s="41"/>
      <c r="H238" s="41"/>
      <c r="I238" s="42"/>
      <c r="J238" s="42"/>
      <c r="K238" s="42"/>
    </row>
    <row r="239" spans="1:11" x14ac:dyDescent="0.2">
      <c r="A239" s="34" t="s">
        <v>159</v>
      </c>
      <c r="B239" s="42">
        <v>1351539</v>
      </c>
      <c r="C239" s="42">
        <v>258187</v>
      </c>
      <c r="D239" s="42">
        <v>29690</v>
      </c>
      <c r="E239" s="42">
        <v>29271</v>
      </c>
      <c r="F239" s="42">
        <v>188328</v>
      </c>
      <c r="G239" s="42">
        <v>69057</v>
      </c>
      <c r="H239" s="42">
        <v>30246</v>
      </c>
      <c r="I239" s="42"/>
      <c r="J239" s="42"/>
      <c r="K239" s="42"/>
    </row>
    <row r="240" spans="1:11" x14ac:dyDescent="0.2">
      <c r="A240" s="34" t="s">
        <v>160</v>
      </c>
      <c r="B240" s="42">
        <v>1385239</v>
      </c>
      <c r="C240" s="42">
        <v>263798</v>
      </c>
      <c r="D240" s="42">
        <v>30016</v>
      </c>
      <c r="E240" s="42">
        <v>30256</v>
      </c>
      <c r="F240" s="42">
        <v>188631</v>
      </c>
      <c r="G240" s="42">
        <v>67709</v>
      </c>
      <c r="H240" s="42">
        <v>31885</v>
      </c>
      <c r="I240" s="42"/>
      <c r="J240" s="42"/>
      <c r="K240" s="42"/>
    </row>
    <row r="241" spans="1:11" x14ac:dyDescent="0.2">
      <c r="A241" s="34" t="s">
        <v>161</v>
      </c>
      <c r="B241" s="42">
        <v>1415096</v>
      </c>
      <c r="C241" s="42">
        <v>267164</v>
      </c>
      <c r="D241" s="42">
        <v>30249</v>
      </c>
      <c r="E241" s="42">
        <v>30926</v>
      </c>
      <c r="F241" s="42">
        <v>190704</v>
      </c>
      <c r="G241" s="42">
        <v>66339</v>
      </c>
      <c r="H241" s="42">
        <v>33187</v>
      </c>
      <c r="I241" s="42"/>
      <c r="J241" s="42"/>
      <c r="K241" s="42"/>
    </row>
    <row r="242" spans="1:11" x14ac:dyDescent="0.2">
      <c r="A242" s="34" t="s">
        <v>162</v>
      </c>
      <c r="B242" s="42">
        <v>1442154</v>
      </c>
      <c r="C242" s="42">
        <v>269496</v>
      </c>
      <c r="D242" s="42">
        <v>30489</v>
      </c>
      <c r="E242" s="42">
        <v>31371</v>
      </c>
      <c r="F242" s="42">
        <v>192368</v>
      </c>
      <c r="G242" s="42">
        <v>64857</v>
      </c>
      <c r="H242" s="42">
        <v>34289</v>
      </c>
      <c r="I242" s="42"/>
      <c r="J242" s="42"/>
      <c r="K242" s="42"/>
    </row>
    <row r="243" spans="1:11" x14ac:dyDescent="0.2">
      <c r="A243" s="34" t="s">
        <v>163</v>
      </c>
      <c r="B243" s="42">
        <v>1461754</v>
      </c>
      <c r="C243" s="42">
        <v>270796</v>
      </c>
      <c r="D243" s="42">
        <v>30772</v>
      </c>
      <c r="E243" s="42">
        <v>31449</v>
      </c>
      <c r="F243" s="42">
        <v>194546</v>
      </c>
      <c r="G243" s="42">
        <v>63371</v>
      </c>
      <c r="H243" s="42">
        <v>35273</v>
      </c>
      <c r="I243" s="42"/>
      <c r="J243" s="42"/>
      <c r="K243" s="42"/>
    </row>
    <row r="244" spans="1:11" x14ac:dyDescent="0.2">
      <c r="A244" s="34" t="s">
        <v>164</v>
      </c>
      <c r="B244" s="42">
        <v>1479421</v>
      </c>
      <c r="C244" s="42">
        <v>271192</v>
      </c>
      <c r="D244" s="42">
        <v>31423</v>
      </c>
      <c r="E244" s="42">
        <v>31486</v>
      </c>
      <c r="F244" s="42">
        <v>195195</v>
      </c>
      <c r="G244" s="42">
        <v>61286</v>
      </c>
      <c r="H244" s="42">
        <v>36005</v>
      </c>
      <c r="I244" s="42"/>
      <c r="J244" s="42"/>
      <c r="K244" s="42"/>
    </row>
    <row r="245" spans="1:11" x14ac:dyDescent="0.2">
      <c r="A245" s="34" t="s">
        <v>165</v>
      </c>
      <c r="B245" s="42">
        <v>1499254</v>
      </c>
      <c r="C245" s="42">
        <v>271136</v>
      </c>
      <c r="D245" s="42">
        <v>32023</v>
      </c>
      <c r="E245" s="42">
        <v>31717</v>
      </c>
      <c r="F245" s="42">
        <v>197710</v>
      </c>
      <c r="G245" s="42">
        <v>59079</v>
      </c>
      <c r="H245" s="42">
        <v>36874</v>
      </c>
      <c r="I245" s="42"/>
      <c r="J245" s="42"/>
      <c r="K245" s="42"/>
    </row>
    <row r="246" spans="1:11" x14ac:dyDescent="0.2">
      <c r="A246" s="34" t="s">
        <v>166</v>
      </c>
      <c r="B246" s="42">
        <v>1531265</v>
      </c>
      <c r="C246" s="42">
        <v>270904</v>
      </c>
      <c r="D246" s="42">
        <v>32503</v>
      </c>
      <c r="E246" s="42">
        <v>31890</v>
      </c>
      <c r="F246" s="42">
        <v>200916</v>
      </c>
      <c r="G246" s="42">
        <v>56780</v>
      </c>
      <c r="H246" s="42">
        <v>37920</v>
      </c>
      <c r="I246" s="42"/>
      <c r="J246" s="42"/>
      <c r="K246" s="42"/>
    </row>
    <row r="247" spans="1:11" x14ac:dyDescent="0.2">
      <c r="A247" s="34" t="s">
        <v>168</v>
      </c>
      <c r="B247" s="42">
        <v>1558227</v>
      </c>
      <c r="C247" s="42">
        <v>270720</v>
      </c>
      <c r="D247" s="42">
        <v>33035</v>
      </c>
      <c r="E247" s="42">
        <v>32256</v>
      </c>
      <c r="F247" s="42">
        <v>205069</v>
      </c>
      <c r="G247" s="42">
        <v>54677</v>
      </c>
      <c r="H247" s="42">
        <v>39477</v>
      </c>
      <c r="I247" s="42"/>
      <c r="J247" s="42"/>
      <c r="K247" s="42"/>
    </row>
    <row r="248" spans="1:11" x14ac:dyDescent="0.2">
      <c r="A248" s="34" t="s">
        <v>195</v>
      </c>
      <c r="B248" s="42">
        <v>1587158</v>
      </c>
      <c r="C248" s="42">
        <v>272195</v>
      </c>
      <c r="D248" s="42">
        <v>33718</v>
      </c>
      <c r="E248" s="42">
        <v>32839</v>
      </c>
      <c r="F248" s="42">
        <v>209527</v>
      </c>
      <c r="G248" s="42">
        <v>53156</v>
      </c>
      <c r="H248" s="42">
        <v>41198</v>
      </c>
      <c r="I248" s="42"/>
      <c r="J248" s="42"/>
      <c r="K248" s="42"/>
    </row>
    <row r="249" spans="1:11" x14ac:dyDescent="0.2">
      <c r="A249" s="26" t="s">
        <v>196</v>
      </c>
      <c r="B249" s="42">
        <v>1635209</v>
      </c>
      <c r="C249" s="42">
        <v>274997</v>
      </c>
      <c r="D249" s="42">
        <v>34348</v>
      </c>
      <c r="E249" s="42">
        <v>33324</v>
      </c>
      <c r="F249" s="42">
        <v>215830</v>
      </c>
      <c r="G249" s="42">
        <v>51847</v>
      </c>
      <c r="H249" s="42">
        <v>43097</v>
      </c>
      <c r="I249" s="42"/>
      <c r="J249" s="42"/>
      <c r="K249" s="42"/>
    </row>
    <row r="250" spans="1:11" x14ac:dyDescent="0.2">
      <c r="A250" s="26" t="s">
        <v>210</v>
      </c>
      <c r="B250" s="42">
        <v>1689763</v>
      </c>
      <c r="C250" s="42">
        <v>278442</v>
      </c>
      <c r="D250" s="42">
        <v>34794</v>
      </c>
      <c r="E250" s="42">
        <v>33623</v>
      </c>
      <c r="F250" s="42">
        <v>220875</v>
      </c>
      <c r="G250" s="42">
        <v>50071</v>
      </c>
      <c r="H250" s="42">
        <v>45034</v>
      </c>
      <c r="I250" s="42"/>
      <c r="J250" s="42"/>
      <c r="K250" s="42"/>
    </row>
    <row r="251" spans="1:11" x14ac:dyDescent="0.2">
      <c r="A251" s="34" t="s">
        <v>222</v>
      </c>
      <c r="B251" s="42">
        <v>1753722</v>
      </c>
      <c r="C251" s="42">
        <v>282118</v>
      </c>
      <c r="D251" s="42">
        <v>35522</v>
      </c>
      <c r="E251" s="42">
        <v>34010</v>
      </c>
      <c r="F251" s="42">
        <v>229124</v>
      </c>
      <c r="G251" s="42">
        <v>48523</v>
      </c>
      <c r="H251" s="42">
        <v>47473</v>
      </c>
      <c r="I251" s="42"/>
      <c r="J251" s="42"/>
      <c r="K251" s="42"/>
    </row>
    <row r="252" spans="1:11" ht="12" customHeight="1" x14ac:dyDescent="0.2">
      <c r="A252" s="21" t="s">
        <v>178</v>
      </c>
      <c r="B252" s="42"/>
      <c r="C252" s="42"/>
      <c r="D252" s="42"/>
      <c r="E252" s="42"/>
      <c r="F252" s="42"/>
      <c r="G252" s="42"/>
      <c r="H252" s="42"/>
      <c r="I252" s="42"/>
      <c r="J252" s="34"/>
      <c r="K252" s="42"/>
    </row>
    <row r="253" spans="1:11" x14ac:dyDescent="0.2">
      <c r="A253" s="34" t="s">
        <v>159</v>
      </c>
      <c r="B253" s="42">
        <v>59185</v>
      </c>
      <c r="C253" s="42">
        <v>5109</v>
      </c>
      <c r="D253" s="42">
        <v>13</v>
      </c>
      <c r="E253" s="42">
        <v>68</v>
      </c>
      <c r="F253" s="42">
        <v>15</v>
      </c>
      <c r="G253" s="42">
        <v>1</v>
      </c>
      <c r="H253" s="42">
        <v>2</v>
      </c>
      <c r="I253" s="42"/>
      <c r="J253" s="34"/>
      <c r="K253" s="42"/>
    </row>
    <row r="254" spans="1:11" x14ac:dyDescent="0.2">
      <c r="A254" s="34" t="s">
        <v>160</v>
      </c>
      <c r="B254" s="42">
        <v>59339</v>
      </c>
      <c r="C254" s="42">
        <v>4819</v>
      </c>
      <c r="D254" s="42">
        <v>11</v>
      </c>
      <c r="E254" s="42">
        <v>63</v>
      </c>
      <c r="F254" s="42">
        <v>8</v>
      </c>
      <c r="G254" s="42">
        <v>0</v>
      </c>
      <c r="H254" s="42">
        <v>6</v>
      </c>
      <c r="J254" s="34"/>
      <c r="K254" s="42"/>
    </row>
    <row r="255" spans="1:11" x14ac:dyDescent="0.2">
      <c r="A255" s="34" t="s">
        <v>161</v>
      </c>
      <c r="B255" s="42">
        <v>61053</v>
      </c>
      <c r="C255" s="42">
        <v>4484</v>
      </c>
      <c r="D255" s="42">
        <v>4</v>
      </c>
      <c r="E255" s="42">
        <v>49</v>
      </c>
      <c r="F255" s="42">
        <v>3</v>
      </c>
      <c r="G255" s="42">
        <v>1</v>
      </c>
      <c r="H255" s="42">
        <v>5</v>
      </c>
      <c r="J255" s="26"/>
      <c r="K255" s="42"/>
    </row>
    <row r="256" spans="1:11" x14ac:dyDescent="0.2">
      <c r="A256" s="34" t="s">
        <v>162</v>
      </c>
      <c r="B256" s="42">
        <v>63466</v>
      </c>
      <c r="C256" s="42">
        <v>4106</v>
      </c>
      <c r="D256" s="42">
        <v>6</v>
      </c>
      <c r="E256" s="42">
        <v>40</v>
      </c>
      <c r="F256" s="42">
        <v>6</v>
      </c>
      <c r="G256" s="42">
        <v>2</v>
      </c>
      <c r="H256" s="42">
        <v>3</v>
      </c>
      <c r="I256" s="42"/>
      <c r="J256" s="42"/>
      <c r="K256" s="42"/>
    </row>
    <row r="257" spans="1:11" x14ac:dyDescent="0.2">
      <c r="A257" s="34" t="s">
        <v>163</v>
      </c>
      <c r="B257" s="42">
        <v>62742</v>
      </c>
      <c r="C257" s="42">
        <v>3652</v>
      </c>
      <c r="D257" s="42">
        <v>4</v>
      </c>
      <c r="E257" s="42">
        <v>45</v>
      </c>
      <c r="F257" s="42">
        <v>5</v>
      </c>
      <c r="G257" s="42">
        <v>2</v>
      </c>
      <c r="H257" s="42">
        <v>4</v>
      </c>
      <c r="I257" s="42"/>
      <c r="J257" s="42"/>
      <c r="K257" s="42"/>
    </row>
    <row r="258" spans="1:11" x14ac:dyDescent="0.2">
      <c r="A258" s="34" t="s">
        <v>164</v>
      </c>
      <c r="B258" s="42">
        <v>72540</v>
      </c>
      <c r="C258" s="42">
        <v>3194</v>
      </c>
      <c r="D258" s="42">
        <v>7</v>
      </c>
      <c r="E258" s="42">
        <v>44</v>
      </c>
      <c r="F258" s="42">
        <v>4</v>
      </c>
      <c r="G258" s="42">
        <v>4</v>
      </c>
      <c r="H258" s="42">
        <v>0</v>
      </c>
      <c r="I258" s="42"/>
      <c r="J258" s="42"/>
      <c r="K258" s="42"/>
    </row>
    <row r="259" spans="1:11" x14ac:dyDescent="0.2">
      <c r="A259" s="34" t="s">
        <v>165</v>
      </c>
      <c r="B259" s="42">
        <v>74467</v>
      </c>
      <c r="C259" s="42">
        <v>2626</v>
      </c>
      <c r="D259" s="42">
        <v>10</v>
      </c>
      <c r="E259" s="42">
        <v>50</v>
      </c>
      <c r="F259" s="42">
        <v>3</v>
      </c>
      <c r="G259" s="42">
        <v>1</v>
      </c>
      <c r="H259" s="42">
        <v>2</v>
      </c>
      <c r="I259" s="42"/>
      <c r="J259" s="42"/>
      <c r="K259" s="42"/>
    </row>
    <row r="260" spans="1:11" x14ac:dyDescent="0.2">
      <c r="A260" s="34" t="s">
        <v>166</v>
      </c>
      <c r="B260" s="42">
        <v>62834</v>
      </c>
      <c r="C260" s="42">
        <v>2273</v>
      </c>
      <c r="D260" s="42">
        <v>9</v>
      </c>
      <c r="E260" s="42">
        <v>38</v>
      </c>
      <c r="F260" s="42">
        <v>4</v>
      </c>
      <c r="G260" s="42">
        <v>1</v>
      </c>
      <c r="H260" s="42">
        <v>3</v>
      </c>
      <c r="I260" s="42"/>
      <c r="J260" s="42"/>
      <c r="K260" s="42"/>
    </row>
    <row r="261" spans="1:11" x14ac:dyDescent="0.2">
      <c r="A261" s="34" t="s">
        <v>168</v>
      </c>
      <c r="B261" s="42">
        <v>62939</v>
      </c>
      <c r="C261" s="42">
        <v>1890</v>
      </c>
      <c r="D261" s="42">
        <v>7</v>
      </c>
      <c r="E261" s="42">
        <v>26</v>
      </c>
      <c r="F261" s="42">
        <v>3</v>
      </c>
      <c r="G261" s="42">
        <v>0</v>
      </c>
      <c r="H261" s="42">
        <v>4</v>
      </c>
      <c r="I261" s="42"/>
    </row>
    <row r="262" spans="1:11" x14ac:dyDescent="0.2">
      <c r="A262" s="34" t="s">
        <v>195</v>
      </c>
      <c r="B262" s="42">
        <v>69024</v>
      </c>
      <c r="C262" s="42">
        <v>1854</v>
      </c>
      <c r="D262" s="42">
        <v>8</v>
      </c>
      <c r="E262" s="42">
        <v>42</v>
      </c>
      <c r="F262" s="42">
        <v>5</v>
      </c>
      <c r="G262" s="42">
        <v>1</v>
      </c>
      <c r="H262" s="42">
        <v>7</v>
      </c>
      <c r="I262" s="42"/>
    </row>
    <row r="263" spans="1:11" x14ac:dyDescent="0.2">
      <c r="A263" s="26" t="s">
        <v>196</v>
      </c>
      <c r="B263" s="42">
        <v>66154</v>
      </c>
      <c r="C263" s="42">
        <v>1764</v>
      </c>
      <c r="D263" s="42">
        <v>9</v>
      </c>
      <c r="E263" s="42">
        <v>32</v>
      </c>
      <c r="F263" s="42">
        <v>6</v>
      </c>
      <c r="G263" s="42">
        <v>0</v>
      </c>
      <c r="H263" s="42">
        <v>6</v>
      </c>
      <c r="I263" s="42"/>
    </row>
    <row r="264" spans="1:11" x14ac:dyDescent="0.2">
      <c r="A264" s="26" t="s">
        <v>210</v>
      </c>
      <c r="B264" s="42">
        <v>71083</v>
      </c>
      <c r="C264" s="42">
        <v>1760</v>
      </c>
      <c r="D264" s="42">
        <v>12</v>
      </c>
      <c r="E264" s="42">
        <v>39</v>
      </c>
      <c r="F264" s="42">
        <v>5</v>
      </c>
      <c r="G264" s="42">
        <v>2</v>
      </c>
      <c r="H264" s="42">
        <v>7</v>
      </c>
      <c r="I264" s="42"/>
    </row>
    <row r="265" spans="1:11" x14ac:dyDescent="0.2">
      <c r="A265" s="34" t="s">
        <v>222</v>
      </c>
      <c r="B265" s="42">
        <v>77556</v>
      </c>
      <c r="C265" s="42">
        <v>1723</v>
      </c>
      <c r="D265" s="42">
        <v>14</v>
      </c>
      <c r="E265" s="42">
        <v>42</v>
      </c>
      <c r="F265" s="42">
        <v>2</v>
      </c>
      <c r="G265" s="42">
        <v>2</v>
      </c>
      <c r="H265" s="42">
        <v>12</v>
      </c>
      <c r="I265" s="42"/>
    </row>
    <row r="266" spans="1:11" x14ac:dyDescent="0.2">
      <c r="A266" s="21" t="s">
        <v>179</v>
      </c>
      <c r="B266" s="42"/>
      <c r="C266" s="42"/>
      <c r="D266" s="42"/>
      <c r="E266" s="42"/>
      <c r="F266" s="42"/>
      <c r="G266" s="42"/>
      <c r="H266" s="42"/>
      <c r="I266" s="42"/>
    </row>
    <row r="267" spans="1:11" x14ac:dyDescent="0.2">
      <c r="A267" s="34" t="s">
        <v>159</v>
      </c>
      <c r="B267" s="42">
        <v>96896</v>
      </c>
      <c r="C267" s="42">
        <v>29080</v>
      </c>
      <c r="D267" s="42">
        <v>1405</v>
      </c>
      <c r="E267" s="42">
        <v>2307</v>
      </c>
      <c r="F267" s="42">
        <v>17216</v>
      </c>
      <c r="G267" s="42">
        <v>1881</v>
      </c>
      <c r="H267" s="42">
        <v>2465</v>
      </c>
      <c r="I267" s="42"/>
    </row>
    <row r="268" spans="1:11" x14ac:dyDescent="0.2">
      <c r="A268" s="34" t="s">
        <v>160</v>
      </c>
      <c r="B268" s="42">
        <v>100814</v>
      </c>
      <c r="C268" s="42">
        <v>30169</v>
      </c>
      <c r="D268" s="42">
        <v>1378</v>
      </c>
      <c r="E268" s="42">
        <v>2177</v>
      </c>
      <c r="F268" s="42">
        <v>16401</v>
      </c>
      <c r="G268" s="42">
        <v>1788</v>
      </c>
      <c r="H268" s="42">
        <v>2457</v>
      </c>
      <c r="I268" s="42"/>
    </row>
    <row r="269" spans="1:11" x14ac:dyDescent="0.2">
      <c r="A269" s="34" t="s">
        <v>161</v>
      </c>
      <c r="B269" s="42">
        <v>103852</v>
      </c>
      <c r="C269" s="42">
        <v>29505</v>
      </c>
      <c r="D269" s="42">
        <v>1260</v>
      </c>
      <c r="E269" s="42">
        <v>2162</v>
      </c>
      <c r="F269" s="42">
        <v>14283</v>
      </c>
      <c r="G269" s="42">
        <v>1682</v>
      </c>
      <c r="H269" s="42">
        <v>2399</v>
      </c>
      <c r="I269" s="42"/>
      <c r="J269" s="40"/>
      <c r="K269" s="40"/>
    </row>
    <row r="270" spans="1:11" x14ac:dyDescent="0.2">
      <c r="A270" s="34" t="s">
        <v>162</v>
      </c>
      <c r="B270" s="42">
        <v>104810</v>
      </c>
      <c r="C270" s="42">
        <v>28347</v>
      </c>
      <c r="D270" s="42">
        <v>1279</v>
      </c>
      <c r="E270" s="42">
        <v>2015</v>
      </c>
      <c r="F270" s="42">
        <v>11093</v>
      </c>
      <c r="G270" s="42">
        <v>1323</v>
      </c>
      <c r="H270" s="42">
        <v>1960</v>
      </c>
      <c r="I270" s="42"/>
      <c r="J270" s="40"/>
      <c r="K270" s="40"/>
    </row>
    <row r="271" spans="1:11" x14ac:dyDescent="0.2">
      <c r="A271" s="34" t="s">
        <v>163</v>
      </c>
      <c r="B271" s="42">
        <v>104944</v>
      </c>
      <c r="C271" s="42">
        <v>26555</v>
      </c>
      <c r="D271" s="42">
        <v>1279</v>
      </c>
      <c r="E271" s="42">
        <v>1946</v>
      </c>
      <c r="F271" s="42">
        <v>8319</v>
      </c>
      <c r="G271" s="42">
        <v>958</v>
      </c>
      <c r="H271" s="42">
        <v>1489</v>
      </c>
      <c r="I271" s="42"/>
    </row>
    <row r="272" spans="1:11" x14ac:dyDescent="0.2">
      <c r="A272" s="34" t="s">
        <v>164</v>
      </c>
      <c r="B272" s="42">
        <v>96071</v>
      </c>
      <c r="C272" s="42">
        <v>25249</v>
      </c>
      <c r="D272" s="42">
        <v>1226</v>
      </c>
      <c r="E272" s="42">
        <v>1936</v>
      </c>
      <c r="F272" s="42">
        <v>6192</v>
      </c>
      <c r="G272" s="42">
        <v>691</v>
      </c>
      <c r="H272" s="42">
        <v>1044</v>
      </c>
      <c r="J272" s="40"/>
      <c r="K272" s="40"/>
    </row>
    <row r="273" spans="1:11" x14ac:dyDescent="0.2">
      <c r="A273" s="34" t="s">
        <v>165</v>
      </c>
      <c r="B273" s="42">
        <v>95201</v>
      </c>
      <c r="C273" s="42">
        <v>25264</v>
      </c>
      <c r="D273" s="42">
        <v>1224</v>
      </c>
      <c r="E273" s="42">
        <v>1961</v>
      </c>
      <c r="F273" s="42">
        <v>5221</v>
      </c>
      <c r="G273" s="42">
        <v>539</v>
      </c>
      <c r="H273" s="42">
        <v>828</v>
      </c>
      <c r="J273" s="40"/>
      <c r="K273" s="40"/>
    </row>
    <row r="274" spans="1:11" x14ac:dyDescent="0.2">
      <c r="A274" s="34" t="s">
        <v>166</v>
      </c>
      <c r="B274" s="42">
        <v>99114</v>
      </c>
      <c r="C274" s="42">
        <v>25111</v>
      </c>
      <c r="D274" s="42">
        <v>1189</v>
      </c>
      <c r="E274" s="42">
        <v>1958</v>
      </c>
      <c r="F274" s="42">
        <v>4377</v>
      </c>
      <c r="G274" s="42">
        <v>469</v>
      </c>
      <c r="H274" s="42">
        <v>672</v>
      </c>
      <c r="J274" s="97"/>
      <c r="K274" s="97"/>
    </row>
    <row r="275" spans="1:11" x14ac:dyDescent="0.2">
      <c r="A275" s="34" t="s">
        <v>168</v>
      </c>
      <c r="B275" s="42">
        <v>97200</v>
      </c>
      <c r="C275" s="42">
        <v>25511</v>
      </c>
      <c r="D275" s="42">
        <v>1183</v>
      </c>
      <c r="E275" s="42">
        <v>1849</v>
      </c>
      <c r="F275" s="42">
        <v>3575</v>
      </c>
      <c r="G275" s="42">
        <v>405</v>
      </c>
      <c r="H275" s="42">
        <v>561</v>
      </c>
      <c r="J275" s="42"/>
      <c r="K275" s="42"/>
    </row>
    <row r="276" spans="1:11" x14ac:dyDescent="0.2">
      <c r="A276" s="34" t="s">
        <v>195</v>
      </c>
      <c r="B276" s="42">
        <v>103959</v>
      </c>
      <c r="C276" s="42">
        <v>26765</v>
      </c>
      <c r="D276" s="42">
        <v>1259</v>
      </c>
      <c r="E276" s="42">
        <v>1945</v>
      </c>
      <c r="F276" s="42">
        <v>3298</v>
      </c>
      <c r="G276" s="42">
        <v>354</v>
      </c>
      <c r="H276" s="42">
        <v>533</v>
      </c>
      <c r="J276" s="42"/>
      <c r="K276" s="42"/>
    </row>
    <row r="277" spans="1:11" x14ac:dyDescent="0.2">
      <c r="A277" s="26" t="s">
        <v>196</v>
      </c>
      <c r="B277" s="42">
        <v>111853</v>
      </c>
      <c r="C277" s="42">
        <v>27360</v>
      </c>
      <c r="D277" s="42">
        <v>1292</v>
      </c>
      <c r="E277" s="42">
        <v>1921</v>
      </c>
      <c r="F277" s="42">
        <v>3233</v>
      </c>
      <c r="G277" s="42">
        <v>367</v>
      </c>
      <c r="H277" s="42">
        <v>502</v>
      </c>
      <c r="J277" s="42"/>
      <c r="K277" s="42"/>
    </row>
    <row r="278" spans="1:11" x14ac:dyDescent="0.2">
      <c r="A278" s="26" t="s">
        <v>210</v>
      </c>
      <c r="B278" s="42">
        <v>113608</v>
      </c>
      <c r="C278" s="42">
        <v>27426</v>
      </c>
      <c r="D278" s="42">
        <v>1303</v>
      </c>
      <c r="E278" s="42">
        <v>1812</v>
      </c>
      <c r="F278" s="42">
        <v>3035</v>
      </c>
      <c r="G278" s="42">
        <v>380</v>
      </c>
      <c r="H278" s="42">
        <v>479</v>
      </c>
      <c r="J278" s="42"/>
      <c r="K278" s="42"/>
    </row>
    <row r="279" spans="1:11" x14ac:dyDescent="0.2">
      <c r="A279" s="43" t="s">
        <v>222</v>
      </c>
      <c r="B279" s="44">
        <v>116881</v>
      </c>
      <c r="C279" s="44">
        <v>28350</v>
      </c>
      <c r="D279" s="44">
        <v>1261</v>
      </c>
      <c r="E279" s="44">
        <v>1715</v>
      </c>
      <c r="F279" s="44">
        <v>2778</v>
      </c>
      <c r="G279" s="44">
        <v>331</v>
      </c>
      <c r="H279" s="44">
        <v>432</v>
      </c>
      <c r="J279" s="42"/>
      <c r="K279" s="42"/>
    </row>
    <row r="280" spans="1:11" x14ac:dyDescent="0.2">
      <c r="A280" s="34" t="s">
        <v>307</v>
      </c>
      <c r="B280" s="42"/>
      <c r="C280" s="42"/>
      <c r="D280" s="42"/>
      <c r="E280" s="42"/>
      <c r="F280" s="42"/>
      <c r="G280" s="42"/>
      <c r="H280" s="42"/>
      <c r="J280" s="42"/>
      <c r="K280" s="42"/>
    </row>
    <row r="281" spans="1:11" x14ac:dyDescent="0.2">
      <c r="A281" s="34" t="s">
        <v>219</v>
      </c>
      <c r="B281" s="42"/>
      <c r="C281" s="42"/>
      <c r="D281" s="42"/>
      <c r="E281" s="42"/>
      <c r="F281" s="42"/>
      <c r="G281" s="42"/>
      <c r="H281" s="42"/>
      <c r="I281" s="40"/>
      <c r="J281" s="42"/>
      <c r="K281" s="42"/>
    </row>
    <row r="282" spans="1:11" x14ac:dyDescent="0.2">
      <c r="A282" s="21" t="s">
        <v>398</v>
      </c>
      <c r="I282" s="40"/>
      <c r="J282" s="42"/>
      <c r="K282" s="42"/>
    </row>
    <row r="283" spans="1:11" x14ac:dyDescent="0.2">
      <c r="I283" s="40"/>
      <c r="J283" s="42"/>
      <c r="K283" s="42"/>
    </row>
    <row r="284" spans="1:11" x14ac:dyDescent="0.2">
      <c r="A284" s="27" t="s">
        <v>270</v>
      </c>
      <c r="B284" s="92"/>
      <c r="C284" s="92"/>
      <c r="D284" s="92"/>
      <c r="E284" s="92"/>
      <c r="F284" s="92"/>
      <c r="G284" s="92"/>
      <c r="H284" s="92"/>
      <c r="I284" s="97"/>
      <c r="J284" s="42"/>
      <c r="K284" s="42"/>
    </row>
    <row r="285" spans="1:11" x14ac:dyDescent="0.2">
      <c r="A285" s="210" t="s">
        <v>154</v>
      </c>
      <c r="D285" s="212" t="s">
        <v>169</v>
      </c>
      <c r="E285" s="212"/>
      <c r="F285" s="212"/>
      <c r="G285" s="212"/>
      <c r="H285" s="212"/>
      <c r="I285" s="42"/>
      <c r="J285" s="42"/>
      <c r="K285" s="42"/>
    </row>
    <row r="286" spans="1:11" ht="25.5" x14ac:dyDescent="0.2">
      <c r="A286" s="213"/>
      <c r="B286" s="40" t="s">
        <v>170</v>
      </c>
      <c r="C286" s="40" t="s">
        <v>171</v>
      </c>
      <c r="D286" s="40" t="s">
        <v>172</v>
      </c>
      <c r="E286" s="40" t="s">
        <v>173</v>
      </c>
      <c r="F286" s="40" t="s">
        <v>174</v>
      </c>
      <c r="G286" s="40" t="s">
        <v>175</v>
      </c>
      <c r="H286" s="40" t="s">
        <v>176</v>
      </c>
      <c r="I286" s="42"/>
      <c r="J286" s="42"/>
      <c r="K286" s="42"/>
    </row>
    <row r="287" spans="1:11" x14ac:dyDescent="0.2">
      <c r="A287" s="20" t="s">
        <v>177</v>
      </c>
      <c r="B287" s="93"/>
      <c r="C287" s="41"/>
      <c r="D287" s="41"/>
      <c r="E287" s="41"/>
      <c r="F287" s="41"/>
      <c r="G287" s="41"/>
      <c r="H287" s="41"/>
      <c r="I287" s="42"/>
      <c r="J287" s="42"/>
      <c r="K287" s="42"/>
    </row>
    <row r="288" spans="1:11" x14ac:dyDescent="0.2">
      <c r="A288" s="34" t="s">
        <v>156</v>
      </c>
      <c r="B288" s="42">
        <v>264208</v>
      </c>
      <c r="C288" s="42">
        <v>40857</v>
      </c>
      <c r="D288" s="42">
        <v>4383</v>
      </c>
      <c r="E288" s="42">
        <v>28678</v>
      </c>
      <c r="F288" s="42">
        <v>13382</v>
      </c>
      <c r="G288" s="42">
        <v>13380</v>
      </c>
      <c r="H288" s="42">
        <v>1746</v>
      </c>
      <c r="I288" s="42"/>
      <c r="J288" s="42"/>
      <c r="K288" s="42"/>
    </row>
    <row r="289" spans="1:11" x14ac:dyDescent="0.2">
      <c r="A289" s="34" t="s">
        <v>157</v>
      </c>
      <c r="B289" s="42">
        <v>266922</v>
      </c>
      <c r="C289" s="42">
        <v>41936</v>
      </c>
      <c r="D289" s="42">
        <v>5333</v>
      </c>
      <c r="E289" s="42">
        <v>28575</v>
      </c>
      <c r="F289" s="42">
        <v>13708</v>
      </c>
      <c r="G289" s="42">
        <v>13140</v>
      </c>
      <c r="H289" s="42">
        <v>1861</v>
      </c>
      <c r="I289" s="42"/>
      <c r="J289" s="42"/>
      <c r="K289" s="42"/>
    </row>
    <row r="290" spans="1:11" x14ac:dyDescent="0.2">
      <c r="A290" s="34" t="s">
        <v>158</v>
      </c>
      <c r="B290" s="42">
        <v>265334</v>
      </c>
      <c r="C290" s="42">
        <v>42428</v>
      </c>
      <c r="D290" s="42">
        <v>6214</v>
      </c>
      <c r="E290" s="42">
        <v>28084</v>
      </c>
      <c r="F290" s="42">
        <v>13868</v>
      </c>
      <c r="G290" s="42">
        <v>12644</v>
      </c>
      <c r="H290" s="42">
        <v>1935</v>
      </c>
      <c r="I290" s="42"/>
      <c r="J290" s="42"/>
      <c r="K290" s="42"/>
    </row>
    <row r="291" spans="1:11" x14ac:dyDescent="0.2">
      <c r="A291" s="34" t="s">
        <v>159</v>
      </c>
      <c r="B291" s="42">
        <v>265349</v>
      </c>
      <c r="C291" s="42">
        <v>43102</v>
      </c>
      <c r="D291" s="42">
        <v>7063</v>
      </c>
      <c r="E291" s="42">
        <v>27713</v>
      </c>
      <c r="F291" s="42">
        <v>13930</v>
      </c>
      <c r="G291" s="42">
        <v>12300</v>
      </c>
      <c r="H291" s="42">
        <v>2005</v>
      </c>
      <c r="I291" s="42"/>
      <c r="J291" s="42"/>
      <c r="K291" s="42"/>
    </row>
    <row r="292" spans="1:11" x14ac:dyDescent="0.2">
      <c r="A292" s="34" t="s">
        <v>160</v>
      </c>
      <c r="B292" s="42">
        <v>265403</v>
      </c>
      <c r="C292" s="42">
        <v>44173</v>
      </c>
      <c r="D292" s="42">
        <v>7921</v>
      </c>
      <c r="E292" s="42">
        <v>27341</v>
      </c>
      <c r="F292" s="42">
        <v>13995</v>
      </c>
      <c r="G292" s="42">
        <v>12060</v>
      </c>
      <c r="H292" s="42">
        <v>2077</v>
      </c>
      <c r="I292" s="42"/>
      <c r="J292" s="42"/>
      <c r="K292" s="42"/>
    </row>
    <row r="293" spans="1:11" x14ac:dyDescent="0.2">
      <c r="A293" s="34" t="s">
        <v>161</v>
      </c>
      <c r="B293" s="42">
        <v>267852</v>
      </c>
      <c r="C293" s="42">
        <v>45476</v>
      </c>
      <c r="D293" s="42">
        <v>8274</v>
      </c>
      <c r="E293" s="42">
        <v>27400</v>
      </c>
      <c r="F293" s="42">
        <v>14150</v>
      </c>
      <c r="G293" s="42">
        <v>12032</v>
      </c>
      <c r="H293" s="42">
        <v>2173</v>
      </c>
      <c r="I293" s="42"/>
      <c r="J293" s="42"/>
      <c r="K293" s="42"/>
    </row>
    <row r="294" spans="1:11" x14ac:dyDescent="0.2">
      <c r="A294" s="34" t="s">
        <v>162</v>
      </c>
      <c r="B294" s="42">
        <v>271500</v>
      </c>
      <c r="C294" s="42">
        <v>47176</v>
      </c>
      <c r="D294" s="42">
        <v>8717</v>
      </c>
      <c r="E294" s="42">
        <v>27541</v>
      </c>
      <c r="F294" s="42">
        <v>14385</v>
      </c>
      <c r="G294" s="42">
        <v>11988</v>
      </c>
      <c r="H294" s="42">
        <v>2303</v>
      </c>
      <c r="I294" s="42"/>
      <c r="J294" s="42"/>
      <c r="K294" s="42"/>
    </row>
    <row r="295" spans="1:11" x14ac:dyDescent="0.2">
      <c r="A295" s="34" t="s">
        <v>163</v>
      </c>
      <c r="B295" s="42">
        <v>274072</v>
      </c>
      <c r="C295" s="42">
        <v>48566</v>
      </c>
      <c r="D295" s="42">
        <v>9052</v>
      </c>
      <c r="E295" s="42">
        <v>27703</v>
      </c>
      <c r="F295" s="42">
        <v>14537</v>
      </c>
      <c r="G295" s="42">
        <v>11974</v>
      </c>
      <c r="H295" s="42">
        <v>2394</v>
      </c>
      <c r="I295" s="42"/>
      <c r="J295" s="42"/>
      <c r="K295" s="42"/>
    </row>
    <row r="296" spans="1:11" x14ac:dyDescent="0.2">
      <c r="A296" s="34" t="s">
        <v>164</v>
      </c>
      <c r="B296" s="42">
        <v>280042</v>
      </c>
      <c r="C296" s="42">
        <v>50315</v>
      </c>
      <c r="D296" s="42">
        <v>9550</v>
      </c>
      <c r="E296" s="42">
        <v>27651</v>
      </c>
      <c r="F296" s="42">
        <v>14653</v>
      </c>
      <c r="G296" s="42">
        <v>11837</v>
      </c>
      <c r="H296" s="42">
        <v>2511</v>
      </c>
      <c r="I296" s="42"/>
      <c r="J296" s="42"/>
      <c r="K296" s="42"/>
    </row>
    <row r="297" spans="1:11" ht="13.5" thickBot="1" x14ac:dyDescent="0.25">
      <c r="A297" s="34" t="s">
        <v>165</v>
      </c>
      <c r="B297" s="95">
        <v>280730</v>
      </c>
      <c r="C297" s="95">
        <v>48566</v>
      </c>
      <c r="D297" s="95">
        <v>9052</v>
      </c>
      <c r="E297" s="95">
        <v>27703</v>
      </c>
      <c r="F297" s="95">
        <v>14537</v>
      </c>
      <c r="G297" s="95">
        <v>11974</v>
      </c>
      <c r="H297" s="95">
        <v>2394</v>
      </c>
      <c r="I297" s="42"/>
      <c r="J297" s="34"/>
      <c r="K297" s="42"/>
    </row>
    <row r="298" spans="1:11" ht="13.5" thickTop="1" x14ac:dyDescent="0.2">
      <c r="A298" s="34" t="s">
        <v>166</v>
      </c>
      <c r="B298" s="42">
        <v>297151</v>
      </c>
      <c r="C298" s="42">
        <v>53447</v>
      </c>
      <c r="D298" s="42">
        <v>10268</v>
      </c>
      <c r="E298" s="42">
        <v>27619</v>
      </c>
      <c r="F298" s="42">
        <v>15367</v>
      </c>
      <c r="G298" s="42">
        <v>11686</v>
      </c>
      <c r="H298" s="42">
        <v>2724</v>
      </c>
      <c r="I298" s="42"/>
      <c r="J298" s="34"/>
      <c r="K298" s="42"/>
    </row>
    <row r="299" spans="1:11" x14ac:dyDescent="0.2">
      <c r="A299" s="34" t="s">
        <v>168</v>
      </c>
      <c r="B299" s="42">
        <v>304673</v>
      </c>
      <c r="C299" s="42">
        <v>54249</v>
      </c>
      <c r="D299" s="42">
        <v>10344</v>
      </c>
      <c r="E299" s="42">
        <v>27699</v>
      </c>
      <c r="F299" s="42">
        <v>15589</v>
      </c>
      <c r="G299" s="42">
        <v>11681</v>
      </c>
      <c r="H299" s="42">
        <v>2811</v>
      </c>
      <c r="I299" s="42"/>
      <c r="J299" s="34"/>
      <c r="K299" s="42"/>
    </row>
    <row r="300" spans="1:11" x14ac:dyDescent="0.2">
      <c r="A300" s="34" t="s">
        <v>195</v>
      </c>
      <c r="B300" s="42">
        <v>309398</v>
      </c>
      <c r="C300" s="42">
        <v>54991</v>
      </c>
      <c r="D300" s="42">
        <v>10639</v>
      </c>
      <c r="E300" s="42">
        <v>27522</v>
      </c>
      <c r="F300" s="42">
        <v>15837</v>
      </c>
      <c r="G300" s="42">
        <v>11584</v>
      </c>
      <c r="H300" s="42">
        <v>2941</v>
      </c>
      <c r="I300" s="42"/>
      <c r="J300" s="34"/>
      <c r="K300" s="42"/>
    </row>
    <row r="301" spans="1:11" x14ac:dyDescent="0.2">
      <c r="A301" s="34" t="s">
        <v>196</v>
      </c>
      <c r="B301" s="42">
        <v>312905</v>
      </c>
      <c r="C301" s="42">
        <v>55475</v>
      </c>
      <c r="D301" s="42">
        <v>10764</v>
      </c>
      <c r="E301" s="42">
        <v>27397</v>
      </c>
      <c r="F301" s="42">
        <v>15758</v>
      </c>
      <c r="G301" s="42">
        <v>11485</v>
      </c>
      <c r="H301" s="42">
        <v>3038</v>
      </c>
      <c r="I301" s="42"/>
      <c r="J301" s="34"/>
      <c r="K301" s="42"/>
    </row>
    <row r="302" spans="1:11" x14ac:dyDescent="0.2">
      <c r="A302" s="34" t="s">
        <v>210</v>
      </c>
      <c r="B302" s="42">
        <v>317524</v>
      </c>
      <c r="C302" s="42">
        <v>55879</v>
      </c>
      <c r="D302" s="42">
        <v>10957</v>
      </c>
      <c r="E302" s="42">
        <v>27266</v>
      </c>
      <c r="F302" s="42">
        <v>15679</v>
      </c>
      <c r="G302" s="42">
        <v>11264</v>
      </c>
      <c r="H302" s="42">
        <v>3074</v>
      </c>
      <c r="I302" s="42"/>
      <c r="J302" s="34"/>
      <c r="K302" s="42"/>
    </row>
    <row r="303" spans="1:11" x14ac:dyDescent="0.2">
      <c r="A303" s="34" t="s">
        <v>222</v>
      </c>
      <c r="B303" s="42">
        <v>323862</v>
      </c>
      <c r="C303" s="42">
        <v>56553</v>
      </c>
      <c r="D303" s="42">
        <v>11131</v>
      </c>
      <c r="E303" s="42">
        <v>27260</v>
      </c>
      <c r="F303" s="42">
        <v>15896</v>
      </c>
      <c r="G303" s="42">
        <v>11134</v>
      </c>
      <c r="H303" s="42">
        <v>3222</v>
      </c>
      <c r="I303" s="42"/>
      <c r="J303" s="34"/>
      <c r="K303" s="42"/>
    </row>
    <row r="304" spans="1:11" x14ac:dyDescent="0.2">
      <c r="A304" s="21" t="s">
        <v>178</v>
      </c>
      <c r="B304" s="42"/>
      <c r="C304" s="42"/>
      <c r="D304" s="42"/>
      <c r="E304" s="42"/>
      <c r="F304" s="42"/>
      <c r="G304" s="42"/>
      <c r="H304" s="42"/>
      <c r="I304" s="42"/>
      <c r="J304" s="34"/>
      <c r="K304" s="42"/>
    </row>
    <row r="305" spans="1:11" x14ac:dyDescent="0.2">
      <c r="A305" s="34" t="s">
        <v>156</v>
      </c>
      <c r="B305" s="42">
        <v>18737</v>
      </c>
      <c r="C305" s="42">
        <v>2654</v>
      </c>
      <c r="D305" s="42">
        <v>11</v>
      </c>
      <c r="E305" s="42">
        <v>75</v>
      </c>
      <c r="F305" s="42">
        <v>7</v>
      </c>
      <c r="G305" s="42">
        <v>3</v>
      </c>
      <c r="H305" s="42"/>
      <c r="I305" s="42"/>
      <c r="J305" s="42"/>
      <c r="K305" s="42"/>
    </row>
    <row r="306" spans="1:11" x14ac:dyDescent="0.2">
      <c r="A306" s="34" t="s">
        <v>157</v>
      </c>
      <c r="B306" s="42">
        <v>17583</v>
      </c>
      <c r="C306" s="42">
        <v>2925</v>
      </c>
      <c r="D306" s="42">
        <v>7</v>
      </c>
      <c r="E306" s="42">
        <v>76</v>
      </c>
      <c r="F306" s="42">
        <v>19</v>
      </c>
      <c r="G306" s="42">
        <v>5</v>
      </c>
      <c r="H306" s="42"/>
      <c r="I306" s="42"/>
      <c r="J306" s="42"/>
      <c r="K306" s="42"/>
    </row>
    <row r="307" spans="1:11" x14ac:dyDescent="0.2">
      <c r="A307" s="34" t="s">
        <v>158</v>
      </c>
      <c r="B307" s="42">
        <v>16059</v>
      </c>
      <c r="C307" s="42">
        <v>2869</v>
      </c>
      <c r="D307" s="42">
        <v>2</v>
      </c>
      <c r="E307" s="42">
        <v>77</v>
      </c>
      <c r="F307" s="42">
        <v>15</v>
      </c>
      <c r="G307" s="42">
        <v>6</v>
      </c>
      <c r="H307" s="42"/>
      <c r="I307" s="42"/>
      <c r="J307" s="42"/>
      <c r="K307" s="42"/>
    </row>
    <row r="308" spans="1:11" x14ac:dyDescent="0.2">
      <c r="A308" s="34" t="s">
        <v>159</v>
      </c>
      <c r="B308" s="42">
        <v>15076</v>
      </c>
      <c r="C308" s="42">
        <v>3264</v>
      </c>
      <c r="D308" s="42">
        <v>6</v>
      </c>
      <c r="E308" s="42">
        <v>95</v>
      </c>
      <c r="F308" s="42">
        <v>15</v>
      </c>
      <c r="G308" s="42">
        <v>5</v>
      </c>
      <c r="H308" s="42"/>
      <c r="I308" s="42"/>
      <c r="J308" s="42"/>
      <c r="K308" s="42"/>
    </row>
    <row r="309" spans="1:11" x14ac:dyDescent="0.2">
      <c r="A309" s="34" t="s">
        <v>160</v>
      </c>
      <c r="B309" s="42">
        <v>15231</v>
      </c>
      <c r="C309" s="42">
        <v>3482</v>
      </c>
      <c r="D309" s="42">
        <v>6</v>
      </c>
      <c r="E309" s="42">
        <v>88</v>
      </c>
      <c r="F309" s="42">
        <v>8</v>
      </c>
      <c r="G309" s="42">
        <v>6</v>
      </c>
      <c r="H309" s="42"/>
      <c r="I309" s="42"/>
      <c r="J309" s="42"/>
      <c r="K309" s="42"/>
    </row>
    <row r="310" spans="1:11" x14ac:dyDescent="0.2">
      <c r="A310" s="34" t="s">
        <v>161</v>
      </c>
      <c r="B310" s="42">
        <v>15543</v>
      </c>
      <c r="C310" s="42">
        <v>3502</v>
      </c>
      <c r="D310" s="42">
        <v>13</v>
      </c>
      <c r="E310" s="42">
        <v>81</v>
      </c>
      <c r="F310" s="42">
        <v>11</v>
      </c>
      <c r="G310" s="42">
        <v>6</v>
      </c>
      <c r="H310" s="42"/>
      <c r="I310" s="42"/>
      <c r="J310" s="42"/>
      <c r="K310" s="42"/>
    </row>
    <row r="311" spans="1:11" x14ac:dyDescent="0.2">
      <c r="A311" s="34" t="s">
        <v>162</v>
      </c>
      <c r="B311" s="42">
        <v>17185</v>
      </c>
      <c r="C311" s="42">
        <v>3413</v>
      </c>
      <c r="D311" s="42">
        <v>8</v>
      </c>
      <c r="E311" s="42">
        <v>66</v>
      </c>
      <c r="F311" s="42">
        <v>6</v>
      </c>
      <c r="G311" s="42">
        <v>8</v>
      </c>
      <c r="H311" s="42"/>
      <c r="I311" s="42"/>
      <c r="J311" s="42"/>
      <c r="K311" s="42"/>
    </row>
    <row r="312" spans="1:11" x14ac:dyDescent="0.2">
      <c r="A312" s="34" t="s">
        <v>163</v>
      </c>
      <c r="B312" s="42">
        <v>18622</v>
      </c>
      <c r="C312" s="42">
        <v>3381</v>
      </c>
      <c r="D312" s="42">
        <v>9</v>
      </c>
      <c r="E312" s="42">
        <v>75</v>
      </c>
      <c r="F312" s="42">
        <v>8</v>
      </c>
      <c r="G312" s="42">
        <v>4</v>
      </c>
      <c r="H312" s="42"/>
      <c r="I312" s="42"/>
      <c r="J312" s="42"/>
      <c r="K312" s="42"/>
    </row>
    <row r="313" spans="1:11" x14ac:dyDescent="0.2">
      <c r="A313" s="34" t="s">
        <v>164</v>
      </c>
      <c r="B313" s="42">
        <v>19273</v>
      </c>
      <c r="C313" s="42">
        <v>2941</v>
      </c>
      <c r="D313" s="42">
        <v>3</v>
      </c>
      <c r="E313" s="42">
        <v>61</v>
      </c>
      <c r="F313" s="42">
        <v>9</v>
      </c>
      <c r="G313" s="42">
        <v>3</v>
      </c>
      <c r="H313" s="42"/>
      <c r="I313" s="42"/>
      <c r="J313" s="42"/>
      <c r="K313" s="42"/>
    </row>
    <row r="314" spans="1:11" ht="13.5" thickBot="1" x14ac:dyDescent="0.25">
      <c r="A314" s="34" t="s">
        <v>165</v>
      </c>
      <c r="B314" s="95">
        <v>18526</v>
      </c>
      <c r="C314" s="95">
        <v>3381</v>
      </c>
      <c r="D314" s="95">
        <v>9</v>
      </c>
      <c r="E314" s="95">
        <v>75</v>
      </c>
      <c r="F314" s="95">
        <v>8</v>
      </c>
      <c r="G314" s="95">
        <v>4</v>
      </c>
      <c r="H314" s="95"/>
      <c r="I314" s="42"/>
      <c r="J314" s="42"/>
      <c r="K314" s="42"/>
    </row>
    <row r="315" spans="1:11" ht="13.5" thickTop="1" x14ac:dyDescent="0.2">
      <c r="A315" s="34" t="s">
        <v>166</v>
      </c>
      <c r="B315" s="42">
        <v>17763</v>
      </c>
      <c r="C315" s="42">
        <v>1721</v>
      </c>
      <c r="D315" s="42">
        <v>3</v>
      </c>
      <c r="E315" s="42">
        <v>46</v>
      </c>
      <c r="F315" s="42">
        <v>7</v>
      </c>
      <c r="G315" s="42">
        <v>1</v>
      </c>
      <c r="H315" s="42"/>
      <c r="I315" s="42"/>
    </row>
    <row r="316" spans="1:11" x14ac:dyDescent="0.2">
      <c r="A316" s="34" t="s">
        <v>168</v>
      </c>
      <c r="B316" s="42">
        <v>21145</v>
      </c>
      <c r="C316" s="42">
        <v>1567</v>
      </c>
      <c r="D316" s="42">
        <v>4</v>
      </c>
      <c r="E316" s="42">
        <v>38</v>
      </c>
      <c r="F316" s="42">
        <v>5</v>
      </c>
      <c r="G316" s="42">
        <v>4</v>
      </c>
      <c r="H316" s="42"/>
      <c r="I316" s="42"/>
    </row>
    <row r="317" spans="1:11" x14ac:dyDescent="0.2">
      <c r="A317" s="34" t="s">
        <v>195</v>
      </c>
      <c r="B317" s="42">
        <v>23075</v>
      </c>
      <c r="C317" s="42">
        <v>1562</v>
      </c>
      <c r="D317" s="42">
        <v>1</v>
      </c>
      <c r="E317" s="42">
        <v>34</v>
      </c>
      <c r="F317" s="42">
        <v>7</v>
      </c>
      <c r="G317" s="42">
        <v>3</v>
      </c>
      <c r="H317" s="42">
        <v>1</v>
      </c>
      <c r="I317" s="42"/>
    </row>
    <row r="318" spans="1:11" x14ac:dyDescent="0.2">
      <c r="A318" s="34" t="s">
        <v>196</v>
      </c>
      <c r="B318" s="42">
        <v>23307</v>
      </c>
      <c r="C318" s="42">
        <v>1533</v>
      </c>
      <c r="D318" s="42">
        <v>2</v>
      </c>
      <c r="E318" s="42">
        <v>49</v>
      </c>
      <c r="F318" s="42">
        <v>10</v>
      </c>
      <c r="G318" s="42">
        <v>1</v>
      </c>
      <c r="H318" s="42">
        <v>1</v>
      </c>
      <c r="I318" s="42"/>
    </row>
    <row r="319" spans="1:11" x14ac:dyDescent="0.2">
      <c r="A319" s="34" t="s">
        <v>210</v>
      </c>
      <c r="B319" s="42">
        <v>21477</v>
      </c>
      <c r="C319" s="42">
        <v>1537</v>
      </c>
      <c r="D319" s="42">
        <v>3</v>
      </c>
      <c r="E319" s="42">
        <v>56</v>
      </c>
      <c r="F319" s="42">
        <v>11</v>
      </c>
      <c r="G319" s="42">
        <v>3</v>
      </c>
      <c r="H319" s="42">
        <v>1</v>
      </c>
      <c r="I319" s="42"/>
    </row>
    <row r="320" spans="1:11" x14ac:dyDescent="0.2">
      <c r="A320" s="34" t="s">
        <v>222</v>
      </c>
      <c r="B320" s="42">
        <v>21366</v>
      </c>
      <c r="C320" s="42">
        <v>1555</v>
      </c>
      <c r="D320" s="42">
        <v>2</v>
      </c>
      <c r="E320" s="42">
        <v>49</v>
      </c>
      <c r="F320" s="42">
        <v>3</v>
      </c>
      <c r="G320" s="42">
        <v>4</v>
      </c>
      <c r="H320" s="42">
        <v>1</v>
      </c>
      <c r="I320" s="42"/>
    </row>
    <row r="321" spans="1:11" x14ac:dyDescent="0.2">
      <c r="A321" s="21" t="s">
        <v>179</v>
      </c>
      <c r="B321" s="42"/>
      <c r="C321" s="42"/>
      <c r="D321" s="42"/>
      <c r="E321" s="42"/>
      <c r="F321" s="42"/>
      <c r="G321" s="42"/>
      <c r="H321" s="42"/>
      <c r="I321" s="42"/>
    </row>
    <row r="322" spans="1:11" x14ac:dyDescent="0.2">
      <c r="A322" s="34" t="s">
        <v>156</v>
      </c>
      <c r="B322" s="42">
        <v>18265</v>
      </c>
      <c r="C322" s="42">
        <v>1705</v>
      </c>
      <c r="D322" s="42"/>
      <c r="E322" s="42"/>
      <c r="F322" s="42"/>
      <c r="G322" s="42"/>
      <c r="H322" s="42"/>
      <c r="I322" s="42"/>
    </row>
    <row r="323" spans="1:11" x14ac:dyDescent="0.2">
      <c r="A323" s="34" t="s">
        <v>157</v>
      </c>
      <c r="B323" s="42">
        <v>19578</v>
      </c>
      <c r="C323" s="42">
        <v>1788</v>
      </c>
      <c r="D323" s="42"/>
      <c r="E323" s="42"/>
      <c r="F323" s="42"/>
      <c r="G323" s="42"/>
      <c r="H323" s="42"/>
      <c r="I323" s="42"/>
    </row>
    <row r="324" spans="1:11" x14ac:dyDescent="0.2">
      <c r="A324" s="34" t="s">
        <v>158</v>
      </c>
      <c r="B324" s="42">
        <v>20615</v>
      </c>
      <c r="C324" s="42">
        <v>2024</v>
      </c>
      <c r="D324" s="42"/>
      <c r="E324" s="42"/>
      <c r="F324" s="42"/>
      <c r="G324" s="42"/>
      <c r="H324" s="42"/>
      <c r="I324" s="42"/>
    </row>
    <row r="325" spans="1:11" x14ac:dyDescent="0.2">
      <c r="A325" s="34" t="s">
        <v>159</v>
      </c>
      <c r="B325" s="42">
        <v>21292</v>
      </c>
      <c r="C325" s="42">
        <v>2172</v>
      </c>
      <c r="D325" s="42"/>
      <c r="E325" s="42"/>
      <c r="F325" s="42"/>
      <c r="G325" s="42"/>
      <c r="H325" s="42"/>
      <c r="I325" s="42"/>
    </row>
    <row r="326" spans="1:11" x14ac:dyDescent="0.2">
      <c r="A326" s="34" t="s">
        <v>160</v>
      </c>
      <c r="B326" s="42">
        <v>21591</v>
      </c>
      <c r="C326" s="42">
        <v>1958</v>
      </c>
      <c r="D326" s="42"/>
      <c r="E326" s="42"/>
      <c r="F326" s="42"/>
      <c r="G326" s="42"/>
      <c r="H326" s="42"/>
      <c r="I326" s="42"/>
      <c r="J326" s="40"/>
      <c r="K326" s="40"/>
    </row>
    <row r="327" spans="1:11" x14ac:dyDescent="0.2">
      <c r="A327" s="34" t="s">
        <v>161</v>
      </c>
      <c r="B327" s="42">
        <v>22116</v>
      </c>
      <c r="C327" s="42">
        <v>1911</v>
      </c>
      <c r="D327" s="42"/>
      <c r="E327" s="42"/>
      <c r="F327" s="42"/>
      <c r="G327" s="42"/>
      <c r="H327" s="42"/>
      <c r="J327" s="40"/>
      <c r="K327" s="40"/>
    </row>
    <row r="328" spans="1:11" x14ac:dyDescent="0.2">
      <c r="A328" s="34" t="s">
        <v>162</v>
      </c>
      <c r="B328" s="42">
        <v>21401</v>
      </c>
      <c r="C328" s="42">
        <v>1837</v>
      </c>
      <c r="D328" s="42"/>
      <c r="E328" s="42"/>
      <c r="F328" s="42"/>
      <c r="G328" s="42"/>
      <c r="H328" s="42"/>
      <c r="J328" s="97"/>
      <c r="K328" s="97"/>
    </row>
    <row r="329" spans="1:11" x14ac:dyDescent="0.2">
      <c r="A329" s="34" t="s">
        <v>163</v>
      </c>
      <c r="B329" s="42">
        <v>21146</v>
      </c>
      <c r="C329" s="42">
        <v>1843</v>
      </c>
      <c r="D329" s="42"/>
      <c r="E329" s="42"/>
      <c r="F329" s="42"/>
      <c r="G329" s="42"/>
      <c r="H329" s="42"/>
      <c r="J329" s="97"/>
      <c r="K329" s="97"/>
    </row>
    <row r="330" spans="1:11" x14ac:dyDescent="0.2">
      <c r="A330" s="34" t="s">
        <v>164</v>
      </c>
      <c r="B330" s="42">
        <v>21547</v>
      </c>
      <c r="C330" s="42">
        <v>1228</v>
      </c>
      <c r="D330" s="42"/>
      <c r="E330" s="42"/>
      <c r="F330" s="42"/>
      <c r="G330" s="42"/>
      <c r="H330" s="42"/>
      <c r="J330" s="42"/>
      <c r="K330" s="42"/>
    </row>
    <row r="331" spans="1:11" ht="13.5" thickBot="1" x14ac:dyDescent="0.25">
      <c r="A331" s="34" t="s">
        <v>165</v>
      </c>
      <c r="B331" s="95">
        <v>21146</v>
      </c>
      <c r="C331" s="95">
        <v>1843</v>
      </c>
      <c r="D331" s="42"/>
      <c r="E331" s="42"/>
      <c r="F331" s="42"/>
      <c r="G331" s="42"/>
      <c r="H331" s="42"/>
      <c r="J331" s="42"/>
      <c r="K331" s="42"/>
    </row>
    <row r="332" spans="1:11" ht="13.5" thickTop="1" x14ac:dyDescent="0.2">
      <c r="A332" s="34" t="s">
        <v>166</v>
      </c>
      <c r="B332" s="42">
        <v>23306</v>
      </c>
      <c r="C332" s="42">
        <v>1127</v>
      </c>
      <c r="D332" s="42"/>
      <c r="E332" s="42"/>
      <c r="F332" s="42"/>
      <c r="G332" s="42"/>
      <c r="H332" s="42"/>
      <c r="J332" s="42"/>
      <c r="K332" s="42"/>
    </row>
    <row r="333" spans="1:11" x14ac:dyDescent="0.2">
      <c r="A333" s="34" t="s">
        <v>168</v>
      </c>
      <c r="B333" s="42">
        <v>21854</v>
      </c>
      <c r="C333" s="42">
        <v>1238</v>
      </c>
      <c r="D333" s="42"/>
      <c r="E333" s="42"/>
      <c r="F333" s="42"/>
      <c r="G333" s="42"/>
      <c r="H333" s="42"/>
      <c r="J333" s="42"/>
      <c r="K333" s="42"/>
    </row>
    <row r="334" spans="1:11" x14ac:dyDescent="0.2">
      <c r="A334" s="34" t="s">
        <v>195</v>
      </c>
      <c r="B334" s="42">
        <v>22317</v>
      </c>
      <c r="C334" s="42">
        <v>1175</v>
      </c>
      <c r="D334" s="42"/>
      <c r="E334" s="42"/>
      <c r="F334" s="42"/>
      <c r="G334" s="42"/>
      <c r="H334" s="42"/>
      <c r="J334" s="42"/>
      <c r="K334" s="42"/>
    </row>
    <row r="335" spans="1:11" x14ac:dyDescent="0.2">
      <c r="A335" s="34" t="s">
        <v>196</v>
      </c>
      <c r="B335" s="42">
        <v>21407</v>
      </c>
      <c r="C335" s="42">
        <v>1114</v>
      </c>
      <c r="D335" s="42"/>
      <c r="E335" s="42"/>
      <c r="F335" s="42"/>
      <c r="G335" s="42"/>
      <c r="H335" s="42"/>
      <c r="J335" s="42"/>
      <c r="K335" s="42"/>
    </row>
    <row r="336" spans="1:11" x14ac:dyDescent="0.2">
      <c r="A336" s="34" t="s">
        <v>210</v>
      </c>
      <c r="B336" s="42">
        <v>22169</v>
      </c>
      <c r="C336" s="42">
        <v>1144</v>
      </c>
      <c r="D336" s="42"/>
      <c r="E336" s="42"/>
      <c r="F336" s="42"/>
      <c r="G336" s="42"/>
      <c r="H336" s="42"/>
      <c r="J336" s="42"/>
      <c r="K336" s="42"/>
    </row>
    <row r="337" spans="1:11" x14ac:dyDescent="0.2">
      <c r="A337" s="43" t="s">
        <v>222</v>
      </c>
      <c r="B337" s="44">
        <v>23365</v>
      </c>
      <c r="C337" s="44">
        <v>1167</v>
      </c>
      <c r="D337" s="44"/>
      <c r="E337" s="44"/>
      <c r="F337" s="44"/>
      <c r="G337" s="44"/>
      <c r="H337" s="44"/>
      <c r="J337" s="42"/>
      <c r="K337" s="42"/>
    </row>
    <row r="338" spans="1:11" x14ac:dyDescent="0.2">
      <c r="A338" s="34" t="s">
        <v>307</v>
      </c>
      <c r="B338" s="42"/>
      <c r="C338" s="42"/>
      <c r="D338" s="42"/>
      <c r="E338" s="42"/>
      <c r="F338" s="42"/>
      <c r="G338" s="42"/>
      <c r="H338" s="42"/>
      <c r="J338" s="42"/>
      <c r="K338" s="42"/>
    </row>
    <row r="339" spans="1:11" x14ac:dyDescent="0.2">
      <c r="A339" s="34" t="s">
        <v>399</v>
      </c>
      <c r="B339" s="42"/>
      <c r="C339" s="42"/>
      <c r="D339" s="42"/>
      <c r="E339" s="42"/>
      <c r="F339" s="42"/>
      <c r="G339" s="42"/>
      <c r="H339" s="42"/>
      <c r="I339" s="40"/>
      <c r="J339" s="42"/>
      <c r="K339" s="42"/>
    </row>
    <row r="340" spans="1:11" x14ac:dyDescent="0.2">
      <c r="A340" s="48" t="s">
        <v>246</v>
      </c>
      <c r="B340" s="42"/>
      <c r="C340" s="42"/>
      <c r="D340" s="42"/>
      <c r="E340" s="42"/>
      <c r="F340" s="42"/>
      <c r="G340" s="42"/>
      <c r="H340" s="42"/>
      <c r="I340" s="42"/>
      <c r="J340" s="42"/>
      <c r="K340" s="42"/>
    </row>
    <row r="341" spans="1:11" x14ac:dyDescent="0.2">
      <c r="A341" s="34"/>
      <c r="B341" s="42"/>
      <c r="C341" s="42"/>
      <c r="D341" s="42"/>
      <c r="E341" s="42"/>
      <c r="F341" s="42"/>
      <c r="G341" s="42"/>
      <c r="H341" s="42"/>
      <c r="I341" s="42"/>
      <c r="J341" s="42"/>
      <c r="K341" s="42"/>
    </row>
    <row r="342" spans="1:11" x14ac:dyDescent="0.2">
      <c r="I342" s="42"/>
      <c r="J342" s="42"/>
      <c r="K342" s="42"/>
    </row>
    <row r="343" spans="1:11" x14ac:dyDescent="0.2">
      <c r="A343" s="27" t="s">
        <v>269</v>
      </c>
      <c r="B343" s="92"/>
      <c r="C343" s="92"/>
      <c r="D343" s="92"/>
      <c r="E343" s="92"/>
      <c r="F343" s="92"/>
      <c r="G343" s="92"/>
      <c r="H343" s="92"/>
      <c r="I343" s="42"/>
      <c r="J343" s="42"/>
      <c r="K343" s="42"/>
    </row>
    <row r="344" spans="1:11" x14ac:dyDescent="0.2">
      <c r="A344" s="210" t="s">
        <v>154</v>
      </c>
      <c r="D344" s="212" t="s">
        <v>169</v>
      </c>
      <c r="E344" s="212"/>
      <c r="F344" s="212"/>
      <c r="G344" s="212"/>
      <c r="H344" s="212"/>
      <c r="I344" s="42"/>
      <c r="J344" s="42"/>
      <c r="K344" s="42"/>
    </row>
    <row r="345" spans="1:11" ht="25.5" x14ac:dyDescent="0.2">
      <c r="A345" s="211"/>
      <c r="B345" s="40" t="s">
        <v>170</v>
      </c>
      <c r="C345" s="40" t="s">
        <v>171</v>
      </c>
      <c r="D345" s="40" t="s">
        <v>172</v>
      </c>
      <c r="E345" s="40" t="s">
        <v>173</v>
      </c>
      <c r="F345" s="40" t="s">
        <v>174</v>
      </c>
      <c r="G345" s="40" t="s">
        <v>175</v>
      </c>
      <c r="H345" s="40" t="s">
        <v>176</v>
      </c>
      <c r="I345" s="42"/>
      <c r="J345" s="42"/>
      <c r="K345" s="42"/>
    </row>
    <row r="346" spans="1:11" x14ac:dyDescent="0.2">
      <c r="A346" s="20" t="s">
        <v>177</v>
      </c>
      <c r="B346" s="93"/>
      <c r="C346" s="41"/>
      <c r="D346" s="41"/>
      <c r="E346" s="41"/>
      <c r="F346" s="41"/>
      <c r="G346" s="41"/>
      <c r="H346" s="41"/>
      <c r="I346" s="42"/>
      <c r="J346" s="42"/>
      <c r="K346" s="42"/>
    </row>
    <row r="347" spans="1:11" x14ac:dyDescent="0.2">
      <c r="A347" s="34" t="s">
        <v>156</v>
      </c>
      <c r="B347" s="42">
        <v>84463</v>
      </c>
      <c r="C347" s="42">
        <v>21294</v>
      </c>
      <c r="D347" s="42">
        <v>5554</v>
      </c>
      <c r="E347" s="42">
        <v>7081</v>
      </c>
      <c r="F347" s="42">
        <v>11164</v>
      </c>
      <c r="G347" s="42">
        <v>5544</v>
      </c>
      <c r="H347" s="42">
        <v>4105</v>
      </c>
      <c r="I347" s="42"/>
      <c r="J347" s="42"/>
      <c r="K347" s="42"/>
    </row>
    <row r="348" spans="1:11" x14ac:dyDescent="0.2">
      <c r="A348" s="34" t="s">
        <v>157</v>
      </c>
      <c r="B348" s="42">
        <v>85228</v>
      </c>
      <c r="C348" s="42">
        <v>21164</v>
      </c>
      <c r="D348" s="42">
        <v>5588</v>
      </c>
      <c r="E348" s="42">
        <v>6913</v>
      </c>
      <c r="F348" s="42">
        <v>11267</v>
      </c>
      <c r="G348" s="42">
        <v>5407</v>
      </c>
      <c r="H348" s="42">
        <v>4142</v>
      </c>
      <c r="I348" s="42"/>
      <c r="J348" s="42"/>
      <c r="K348" s="42"/>
    </row>
    <row r="349" spans="1:11" x14ac:dyDescent="0.2">
      <c r="A349" s="34" t="s">
        <v>158</v>
      </c>
      <c r="B349" s="42">
        <v>88520</v>
      </c>
      <c r="C349" s="42">
        <v>21484</v>
      </c>
      <c r="D349" s="42">
        <v>5651</v>
      </c>
      <c r="E349" s="42">
        <v>6797</v>
      </c>
      <c r="F349" s="42">
        <v>12263</v>
      </c>
      <c r="G349" s="42">
        <v>5337</v>
      </c>
      <c r="H349" s="42">
        <v>4270</v>
      </c>
      <c r="I349" s="42"/>
      <c r="J349" s="42"/>
      <c r="K349" s="42"/>
    </row>
    <row r="350" spans="1:11" x14ac:dyDescent="0.2">
      <c r="A350" s="34" t="s">
        <v>159</v>
      </c>
      <c r="B350" s="42">
        <v>91634</v>
      </c>
      <c r="C350" s="42">
        <v>22091</v>
      </c>
      <c r="D350" s="42">
        <v>5807</v>
      </c>
      <c r="E350" s="42">
        <v>6685</v>
      </c>
      <c r="F350" s="42">
        <v>12988</v>
      </c>
      <c r="G350" s="42">
        <v>5311</v>
      </c>
      <c r="H350" s="42">
        <v>4491</v>
      </c>
      <c r="I350" s="42"/>
      <c r="J350" s="42"/>
      <c r="K350" s="42"/>
    </row>
    <row r="351" spans="1:11" x14ac:dyDescent="0.2">
      <c r="A351" s="34" t="s">
        <v>160</v>
      </c>
      <c r="B351" s="42">
        <v>98344</v>
      </c>
      <c r="C351" s="42">
        <v>24570</v>
      </c>
      <c r="D351" s="42">
        <v>6236</v>
      </c>
      <c r="E351" s="42">
        <v>6984</v>
      </c>
      <c r="F351" s="42">
        <v>14422</v>
      </c>
      <c r="G351" s="42">
        <v>5478</v>
      </c>
      <c r="H351" s="42">
        <v>5038</v>
      </c>
      <c r="I351" s="42"/>
      <c r="J351" s="42"/>
      <c r="K351" s="42"/>
    </row>
    <row r="352" spans="1:11" x14ac:dyDescent="0.2">
      <c r="A352" s="34" t="s">
        <v>161</v>
      </c>
      <c r="B352" s="42">
        <v>99664</v>
      </c>
      <c r="C352" s="42">
        <v>24824</v>
      </c>
      <c r="D352" s="42">
        <v>6301</v>
      </c>
      <c r="E352" s="42">
        <v>6876</v>
      </c>
      <c r="F352" s="42">
        <v>15013</v>
      </c>
      <c r="G352" s="42">
        <v>5367</v>
      </c>
      <c r="H352" s="42">
        <v>5152</v>
      </c>
      <c r="I352" s="42"/>
      <c r="J352" s="42"/>
      <c r="K352" s="42"/>
    </row>
    <row r="353" spans="1:11" x14ac:dyDescent="0.2">
      <c r="A353" s="34" t="s">
        <v>162</v>
      </c>
      <c r="B353" s="42">
        <v>101345</v>
      </c>
      <c r="C353" s="42">
        <v>25014</v>
      </c>
      <c r="D353" s="42">
        <v>6360</v>
      </c>
      <c r="E353" s="42">
        <v>6839</v>
      </c>
      <c r="F353" s="42">
        <v>15183</v>
      </c>
      <c r="G353" s="42">
        <v>5294</v>
      </c>
      <c r="H353" s="42">
        <v>5226</v>
      </c>
      <c r="I353" s="42"/>
      <c r="J353" s="42"/>
      <c r="K353" s="42"/>
    </row>
    <row r="354" spans="1:11" x14ac:dyDescent="0.2">
      <c r="A354" s="34" t="s">
        <v>163</v>
      </c>
      <c r="B354" s="42">
        <v>102839</v>
      </c>
      <c r="C354" s="42">
        <v>25160</v>
      </c>
      <c r="D354" s="42">
        <v>6444</v>
      </c>
      <c r="E354" s="42">
        <v>6847</v>
      </c>
      <c r="F354" s="42">
        <v>15365</v>
      </c>
      <c r="G354" s="42">
        <v>5138</v>
      </c>
      <c r="H354" s="42">
        <v>5359</v>
      </c>
      <c r="I354" s="42"/>
      <c r="J354" s="42"/>
      <c r="K354" s="42"/>
    </row>
    <row r="355" spans="1:11" x14ac:dyDescent="0.2">
      <c r="A355" s="34" t="s">
        <v>164</v>
      </c>
      <c r="B355" s="42">
        <v>103454</v>
      </c>
      <c r="C355" s="42">
        <v>24775</v>
      </c>
      <c r="D355" s="42">
        <v>6579</v>
      </c>
      <c r="E355" s="42">
        <v>6834</v>
      </c>
      <c r="F355" s="42">
        <v>15676</v>
      </c>
      <c r="G355" s="42">
        <v>4966</v>
      </c>
      <c r="H355" s="42">
        <v>5441</v>
      </c>
      <c r="I355" s="42"/>
      <c r="J355" s="42"/>
      <c r="K355" s="42"/>
    </row>
    <row r="356" spans="1:11" x14ac:dyDescent="0.2">
      <c r="A356" s="34" t="s">
        <v>165</v>
      </c>
      <c r="B356" s="42">
        <v>103787</v>
      </c>
      <c r="C356" s="42">
        <v>24228</v>
      </c>
      <c r="D356" s="42">
        <v>6460</v>
      </c>
      <c r="E356" s="42">
        <v>6797</v>
      </c>
      <c r="F356" s="42">
        <v>15227</v>
      </c>
      <c r="G356" s="42">
        <v>4739</v>
      </c>
      <c r="H356" s="42">
        <v>5348</v>
      </c>
      <c r="I356" s="42"/>
      <c r="J356" s="42"/>
      <c r="K356" s="42"/>
    </row>
    <row r="357" spans="1:11" x14ac:dyDescent="0.2">
      <c r="A357" s="34" t="s">
        <v>166</v>
      </c>
      <c r="B357" s="42">
        <v>105849</v>
      </c>
      <c r="C357" s="42">
        <v>23683</v>
      </c>
      <c r="D357" s="42">
        <v>6277</v>
      </c>
      <c r="E357" s="42">
        <v>6764</v>
      </c>
      <c r="F357" s="42">
        <v>15083</v>
      </c>
      <c r="G357" s="42">
        <v>4586</v>
      </c>
      <c r="H357" s="42">
        <v>5248</v>
      </c>
      <c r="I357" s="42"/>
      <c r="J357" s="42"/>
      <c r="K357" s="42"/>
    </row>
    <row r="358" spans="1:11" x14ac:dyDescent="0.2">
      <c r="A358" s="34" t="s">
        <v>168</v>
      </c>
      <c r="B358" s="42">
        <v>107265</v>
      </c>
      <c r="C358" s="42">
        <v>23472</v>
      </c>
      <c r="D358" s="42">
        <v>6191</v>
      </c>
      <c r="E358" s="42">
        <v>6603</v>
      </c>
      <c r="F358" s="42">
        <v>15087</v>
      </c>
      <c r="G358" s="42">
        <v>4465</v>
      </c>
      <c r="H358" s="42">
        <v>5145</v>
      </c>
      <c r="I358" s="42"/>
      <c r="J358" s="42"/>
      <c r="K358" s="42"/>
    </row>
    <row r="359" spans="1:11" x14ac:dyDescent="0.2">
      <c r="A359" s="34" t="s">
        <v>195</v>
      </c>
      <c r="B359" s="42">
        <v>107910</v>
      </c>
      <c r="C359" s="42">
        <v>23230</v>
      </c>
      <c r="D359" s="42">
        <v>5960</v>
      </c>
      <c r="E359" s="42">
        <v>6508</v>
      </c>
      <c r="F359" s="42">
        <v>15006</v>
      </c>
      <c r="G359" s="42">
        <v>4346</v>
      </c>
      <c r="H359" s="42">
        <v>5093</v>
      </c>
      <c r="I359" s="42"/>
      <c r="J359" s="42"/>
      <c r="K359" s="42"/>
    </row>
    <row r="360" spans="1:11" x14ac:dyDescent="0.2">
      <c r="A360" s="34" t="s">
        <v>196</v>
      </c>
      <c r="B360" s="42">
        <v>109623</v>
      </c>
      <c r="C360" s="42">
        <v>23029</v>
      </c>
      <c r="D360" s="42">
        <v>5912</v>
      </c>
      <c r="E360" s="42">
        <v>6431</v>
      </c>
      <c r="F360" s="42">
        <v>15028</v>
      </c>
      <c r="G360" s="42">
        <v>4182</v>
      </c>
      <c r="H360" s="42">
        <v>5079</v>
      </c>
      <c r="I360" s="42"/>
      <c r="J360" s="42"/>
      <c r="K360" s="42"/>
    </row>
    <row r="361" spans="1:11" x14ac:dyDescent="0.2">
      <c r="A361" s="34" t="s">
        <v>210</v>
      </c>
      <c r="B361" s="42">
        <v>110784</v>
      </c>
      <c r="C361" s="42">
        <v>22862</v>
      </c>
      <c r="D361" s="42">
        <v>5747</v>
      </c>
      <c r="E361" s="42">
        <v>6339</v>
      </c>
      <c r="F361" s="42">
        <v>15162</v>
      </c>
      <c r="G361" s="42">
        <v>4084</v>
      </c>
      <c r="H361" s="42">
        <v>5048</v>
      </c>
      <c r="I361" s="42"/>
      <c r="J361" s="42"/>
      <c r="K361" s="42"/>
    </row>
    <row r="362" spans="1:11" x14ac:dyDescent="0.2">
      <c r="A362" s="34" t="s">
        <v>222</v>
      </c>
      <c r="B362" s="42">
        <v>113916</v>
      </c>
      <c r="C362" s="42">
        <v>22840</v>
      </c>
      <c r="D362" s="42">
        <v>5666</v>
      </c>
      <c r="E362" s="42">
        <v>6406</v>
      </c>
      <c r="F362" s="42">
        <v>15478</v>
      </c>
      <c r="G362" s="42">
        <v>4029</v>
      </c>
      <c r="H362" s="42">
        <v>5118</v>
      </c>
      <c r="I362" s="42"/>
      <c r="J362" s="42"/>
      <c r="K362" s="42"/>
    </row>
    <row r="363" spans="1:11" x14ac:dyDescent="0.2">
      <c r="A363" s="21" t="s">
        <v>178</v>
      </c>
      <c r="B363" s="42"/>
      <c r="C363" s="42"/>
      <c r="D363" s="42"/>
      <c r="E363" s="42"/>
      <c r="F363" s="42"/>
      <c r="G363" s="42"/>
      <c r="H363" s="42"/>
      <c r="I363" s="42"/>
      <c r="J363" s="42"/>
      <c r="K363" s="42"/>
    </row>
    <row r="364" spans="1:11" x14ac:dyDescent="0.2">
      <c r="A364" s="34" t="s">
        <v>156</v>
      </c>
      <c r="B364" s="42">
        <v>5744</v>
      </c>
      <c r="C364" s="42">
        <v>73</v>
      </c>
      <c r="D364" s="42">
        <v>1</v>
      </c>
      <c r="E364" s="42">
        <v>5</v>
      </c>
      <c r="F364" s="42">
        <v>4</v>
      </c>
      <c r="G364" s="42">
        <v>2</v>
      </c>
      <c r="H364" s="42">
        <v>2</v>
      </c>
      <c r="I364" s="42"/>
      <c r="J364" s="42"/>
      <c r="K364" s="42"/>
    </row>
    <row r="365" spans="1:11" x14ac:dyDescent="0.2">
      <c r="A365" s="34" t="s">
        <v>157</v>
      </c>
      <c r="B365" s="42">
        <v>6020</v>
      </c>
      <c r="C365" s="42">
        <v>76</v>
      </c>
      <c r="D365" s="42">
        <v>5</v>
      </c>
      <c r="E365" s="42">
        <v>5</v>
      </c>
      <c r="F365" s="42">
        <v>5</v>
      </c>
      <c r="G365" s="42">
        <v>1</v>
      </c>
      <c r="H365" s="42">
        <v>4</v>
      </c>
      <c r="I365" s="42"/>
      <c r="J365" s="42"/>
      <c r="K365" s="42"/>
    </row>
    <row r="366" spans="1:11" x14ac:dyDescent="0.2">
      <c r="A366" s="34" t="s">
        <v>158</v>
      </c>
      <c r="B366" s="42">
        <v>6108</v>
      </c>
      <c r="C366" s="42">
        <v>70</v>
      </c>
      <c r="D366" s="42">
        <v>5</v>
      </c>
      <c r="E366" s="42">
        <v>3</v>
      </c>
      <c r="F366" s="42">
        <v>7</v>
      </c>
      <c r="G366" s="42">
        <v>0</v>
      </c>
      <c r="H366" s="42">
        <v>2</v>
      </c>
      <c r="I366" s="42"/>
      <c r="J366" s="42"/>
      <c r="K366" s="42"/>
    </row>
    <row r="367" spans="1:11" x14ac:dyDescent="0.2">
      <c r="A367" s="34" t="s">
        <v>159</v>
      </c>
      <c r="B367" s="42">
        <v>5796</v>
      </c>
      <c r="C367" s="42">
        <v>115</v>
      </c>
      <c r="D367" s="42">
        <v>0</v>
      </c>
      <c r="E367" s="42">
        <v>3</v>
      </c>
      <c r="F367" s="42">
        <v>3</v>
      </c>
      <c r="G367" s="42">
        <v>0</v>
      </c>
      <c r="H367" s="42">
        <v>0</v>
      </c>
      <c r="J367" s="42"/>
      <c r="K367" s="42"/>
    </row>
    <row r="368" spans="1:11" x14ac:dyDescent="0.2">
      <c r="A368" s="34" t="s">
        <v>160</v>
      </c>
      <c r="B368" s="42">
        <v>6319</v>
      </c>
      <c r="C368" s="42">
        <v>134</v>
      </c>
      <c r="D368" s="42">
        <v>5</v>
      </c>
      <c r="E368" s="42">
        <v>8</v>
      </c>
      <c r="F368" s="42">
        <v>2</v>
      </c>
      <c r="G368" s="42">
        <v>0</v>
      </c>
      <c r="H368" s="42">
        <v>0</v>
      </c>
      <c r="J368" s="42"/>
      <c r="K368" s="42"/>
    </row>
    <row r="369" spans="1:10" x14ac:dyDescent="0.2">
      <c r="A369" s="34" t="s">
        <v>161</v>
      </c>
      <c r="B369" s="42">
        <v>6342</v>
      </c>
      <c r="C369" s="42">
        <v>154</v>
      </c>
      <c r="D369" s="42">
        <v>3</v>
      </c>
      <c r="E369" s="42">
        <v>13</v>
      </c>
      <c r="F369" s="42">
        <v>7</v>
      </c>
      <c r="G369" s="42">
        <v>0</v>
      </c>
      <c r="H369" s="42">
        <v>1</v>
      </c>
      <c r="J369" s="42"/>
    </row>
    <row r="370" spans="1:10" x14ac:dyDescent="0.2">
      <c r="A370" s="34" t="s">
        <v>162</v>
      </c>
      <c r="B370" s="42">
        <v>6708</v>
      </c>
      <c r="C370" s="42">
        <v>130</v>
      </c>
      <c r="D370" s="42">
        <v>7</v>
      </c>
      <c r="E370" s="42">
        <v>6</v>
      </c>
      <c r="F370" s="42">
        <v>1</v>
      </c>
      <c r="G370" s="42">
        <v>0</v>
      </c>
      <c r="H370" s="42">
        <v>1</v>
      </c>
      <c r="I370" s="55"/>
      <c r="J370" s="42"/>
    </row>
    <row r="371" spans="1:10" x14ac:dyDescent="0.2">
      <c r="A371" s="34" t="s">
        <v>163</v>
      </c>
      <c r="B371" s="42">
        <v>6788</v>
      </c>
      <c r="C371" s="42">
        <v>84</v>
      </c>
      <c r="D371" s="42">
        <v>7</v>
      </c>
      <c r="E371" s="42">
        <v>16</v>
      </c>
      <c r="F371" s="42">
        <v>3</v>
      </c>
      <c r="G371" s="42">
        <v>0</v>
      </c>
      <c r="H371" s="42">
        <v>0</v>
      </c>
      <c r="I371" s="34"/>
      <c r="J371" s="42"/>
    </row>
    <row r="372" spans="1:10" x14ac:dyDescent="0.2">
      <c r="A372" s="34" t="s">
        <v>164</v>
      </c>
      <c r="B372" s="42">
        <v>6493</v>
      </c>
      <c r="C372" s="42">
        <v>101</v>
      </c>
      <c r="D372" s="42">
        <v>3</v>
      </c>
      <c r="E372" s="42">
        <v>13</v>
      </c>
      <c r="F372" s="42">
        <v>3</v>
      </c>
      <c r="G372" s="42">
        <v>0</v>
      </c>
      <c r="H372" s="42">
        <v>1</v>
      </c>
      <c r="I372" s="34"/>
      <c r="J372" s="42"/>
    </row>
    <row r="373" spans="1:10" x14ac:dyDescent="0.2">
      <c r="A373" s="34" t="s">
        <v>165</v>
      </c>
      <c r="B373" s="42">
        <v>6342</v>
      </c>
      <c r="C373" s="42">
        <v>154</v>
      </c>
      <c r="D373" s="42">
        <v>3</v>
      </c>
      <c r="E373" s="42">
        <v>13</v>
      </c>
      <c r="F373" s="42">
        <v>7</v>
      </c>
      <c r="G373" s="42">
        <v>0</v>
      </c>
      <c r="H373" s="42">
        <v>1</v>
      </c>
      <c r="I373" s="34"/>
      <c r="J373" s="42"/>
    </row>
    <row r="374" spans="1:10" x14ac:dyDescent="0.2">
      <c r="A374" s="34" t="s">
        <v>166</v>
      </c>
      <c r="B374" s="42">
        <v>6218</v>
      </c>
      <c r="C374" s="42">
        <v>99</v>
      </c>
      <c r="D374" s="42">
        <v>1</v>
      </c>
      <c r="E374" s="42">
        <v>6</v>
      </c>
      <c r="F374" s="42">
        <v>1</v>
      </c>
      <c r="G374" s="42">
        <v>1</v>
      </c>
      <c r="H374" s="42">
        <v>0</v>
      </c>
      <c r="I374" s="34"/>
      <c r="J374" s="42"/>
    </row>
    <row r="375" spans="1:10" x14ac:dyDescent="0.2">
      <c r="A375" s="34" t="s">
        <v>168</v>
      </c>
      <c r="B375" s="42">
        <v>6310</v>
      </c>
      <c r="C375" s="42">
        <v>119</v>
      </c>
      <c r="D375" s="42">
        <v>0</v>
      </c>
      <c r="E375" s="42">
        <v>6</v>
      </c>
      <c r="F375" s="42">
        <v>1</v>
      </c>
      <c r="G375" s="42">
        <v>0</v>
      </c>
      <c r="H375" s="42">
        <v>1</v>
      </c>
    </row>
    <row r="376" spans="1:10" x14ac:dyDescent="0.2">
      <c r="A376" s="34" t="s">
        <v>195</v>
      </c>
      <c r="B376" s="42">
        <v>6255</v>
      </c>
      <c r="C376" s="42">
        <v>96</v>
      </c>
      <c r="D376" s="42">
        <v>2</v>
      </c>
      <c r="E376" s="42">
        <v>4</v>
      </c>
      <c r="F376" s="42">
        <v>2</v>
      </c>
      <c r="G376" s="42">
        <v>0</v>
      </c>
      <c r="H376" s="42">
        <v>1</v>
      </c>
    </row>
    <row r="377" spans="1:10" x14ac:dyDescent="0.2">
      <c r="A377" s="34" t="s">
        <v>196</v>
      </c>
      <c r="B377" s="42">
        <v>6516</v>
      </c>
      <c r="C377" s="42">
        <v>130</v>
      </c>
      <c r="D377" s="42">
        <v>2</v>
      </c>
      <c r="E377" s="42">
        <v>4</v>
      </c>
      <c r="F377" s="42">
        <v>2</v>
      </c>
      <c r="G377" s="42">
        <v>0</v>
      </c>
      <c r="H377" s="42">
        <v>0</v>
      </c>
    </row>
    <row r="378" spans="1:10" x14ac:dyDescent="0.2">
      <c r="A378" s="34" t="s">
        <v>210</v>
      </c>
      <c r="B378" s="42">
        <v>7027</v>
      </c>
      <c r="C378" s="42">
        <v>165</v>
      </c>
      <c r="D378" s="42">
        <v>0</v>
      </c>
      <c r="E378" s="42">
        <v>7</v>
      </c>
      <c r="F378" s="42">
        <v>1</v>
      </c>
      <c r="G378" s="42">
        <v>0</v>
      </c>
      <c r="H378" s="42">
        <v>0</v>
      </c>
    </row>
    <row r="379" spans="1:10" x14ac:dyDescent="0.2">
      <c r="A379" s="34" t="s">
        <v>222</v>
      </c>
      <c r="B379" s="42">
        <v>7342</v>
      </c>
      <c r="C379" s="42">
        <v>127</v>
      </c>
      <c r="D379" s="42">
        <v>0</v>
      </c>
      <c r="E379" s="42">
        <v>10</v>
      </c>
      <c r="F379" s="42">
        <v>0</v>
      </c>
      <c r="G379" s="42">
        <v>0</v>
      </c>
      <c r="H379" s="42">
        <v>0</v>
      </c>
    </row>
    <row r="380" spans="1:10" x14ac:dyDescent="0.2">
      <c r="A380" s="21" t="s">
        <v>179</v>
      </c>
      <c r="B380" s="42"/>
      <c r="C380" s="42"/>
      <c r="D380" s="42"/>
      <c r="E380" s="42"/>
      <c r="F380" s="42"/>
      <c r="G380" s="42"/>
      <c r="H380" s="42"/>
    </row>
    <row r="381" spans="1:10" x14ac:dyDescent="0.2">
      <c r="A381" s="34" t="s">
        <v>156</v>
      </c>
      <c r="B381" s="42">
        <v>6321</v>
      </c>
      <c r="C381" s="42">
        <v>1425</v>
      </c>
      <c r="D381" s="42">
        <v>0</v>
      </c>
      <c r="E381" s="42">
        <v>0</v>
      </c>
      <c r="F381" s="42">
        <v>2</v>
      </c>
      <c r="G381" s="42">
        <v>0</v>
      </c>
      <c r="H381" s="42">
        <v>0</v>
      </c>
    </row>
    <row r="382" spans="1:10" x14ac:dyDescent="0.2">
      <c r="A382" s="34" t="s">
        <v>157</v>
      </c>
      <c r="B382" s="42">
        <v>5911</v>
      </c>
      <c r="C382" s="42">
        <v>1445</v>
      </c>
      <c r="D382" s="42">
        <v>0</v>
      </c>
      <c r="E382" s="42">
        <v>0</v>
      </c>
      <c r="F382" s="42">
        <v>3</v>
      </c>
      <c r="G382" s="42">
        <v>0</v>
      </c>
      <c r="H382" s="42">
        <v>1</v>
      </c>
    </row>
    <row r="383" spans="1:10" x14ac:dyDescent="0.2">
      <c r="A383" s="34" t="s">
        <v>158</v>
      </c>
      <c r="B383" s="42">
        <v>6265</v>
      </c>
      <c r="C383" s="42">
        <v>1570</v>
      </c>
      <c r="D383" s="42">
        <v>0</v>
      </c>
      <c r="E383" s="42">
        <v>0</v>
      </c>
      <c r="F383" s="42">
        <v>1</v>
      </c>
      <c r="G383" s="42">
        <v>0</v>
      </c>
      <c r="H383" s="42">
        <v>1</v>
      </c>
    </row>
    <row r="384" spans="1:10" x14ac:dyDescent="0.2">
      <c r="A384" s="34" t="s">
        <v>159</v>
      </c>
      <c r="B384" s="42">
        <v>6766</v>
      </c>
      <c r="C384" s="42">
        <v>1674</v>
      </c>
      <c r="D384" s="42">
        <v>0</v>
      </c>
      <c r="E384" s="42">
        <v>1</v>
      </c>
      <c r="F384" s="42">
        <v>0</v>
      </c>
      <c r="G384" s="42">
        <v>0</v>
      </c>
      <c r="H384" s="42">
        <v>1</v>
      </c>
    </row>
    <row r="385" spans="1:11" x14ac:dyDescent="0.2">
      <c r="A385" s="34" t="s">
        <v>160</v>
      </c>
      <c r="B385" s="42">
        <v>6976</v>
      </c>
      <c r="C385" s="42">
        <v>2339</v>
      </c>
      <c r="D385" s="42">
        <v>0</v>
      </c>
      <c r="E385" s="42">
        <v>0</v>
      </c>
      <c r="F385" s="42">
        <v>0</v>
      </c>
      <c r="G385" s="42">
        <v>0</v>
      </c>
      <c r="H385" s="42">
        <v>0</v>
      </c>
      <c r="J385" s="40"/>
      <c r="K385" s="40"/>
    </row>
    <row r="386" spans="1:11" x14ac:dyDescent="0.2">
      <c r="A386" s="34" t="s">
        <v>161</v>
      </c>
      <c r="B386" s="42">
        <v>6605</v>
      </c>
      <c r="C386" s="42">
        <v>2195</v>
      </c>
      <c r="D386" s="42">
        <v>0</v>
      </c>
      <c r="E386" s="42">
        <v>0</v>
      </c>
      <c r="F386" s="42">
        <v>0</v>
      </c>
      <c r="G386" s="42">
        <v>0</v>
      </c>
      <c r="H386" s="42">
        <v>0</v>
      </c>
      <c r="J386" s="40"/>
      <c r="K386" s="40"/>
    </row>
    <row r="387" spans="1:11" x14ac:dyDescent="0.2">
      <c r="A387" s="34" t="s">
        <v>162</v>
      </c>
      <c r="B387" s="42">
        <v>6604</v>
      </c>
      <c r="C387" s="42">
        <v>2026</v>
      </c>
      <c r="D387" s="42">
        <v>0</v>
      </c>
      <c r="E387" s="42">
        <v>0</v>
      </c>
      <c r="F387" s="42">
        <v>0</v>
      </c>
      <c r="G387" s="42">
        <v>0</v>
      </c>
      <c r="H387" s="42">
        <v>0</v>
      </c>
    </row>
    <row r="388" spans="1:11" x14ac:dyDescent="0.2">
      <c r="A388" s="34" t="s">
        <v>163</v>
      </c>
      <c r="B388" s="42">
        <v>7361</v>
      </c>
      <c r="C388" s="42">
        <v>2068</v>
      </c>
      <c r="D388" s="42">
        <v>0</v>
      </c>
      <c r="E388" s="42">
        <v>0</v>
      </c>
      <c r="F388" s="42">
        <v>0</v>
      </c>
      <c r="G388" s="42">
        <v>0</v>
      </c>
      <c r="H388" s="42">
        <v>0</v>
      </c>
    </row>
    <row r="389" spans="1:11" x14ac:dyDescent="0.2">
      <c r="A389" s="34" t="s">
        <v>164</v>
      </c>
      <c r="B389" s="42">
        <v>7656</v>
      </c>
      <c r="C389" s="42">
        <v>1997</v>
      </c>
      <c r="D389" s="42">
        <v>0</v>
      </c>
      <c r="E389" s="42">
        <v>0</v>
      </c>
      <c r="F389" s="42">
        <v>0</v>
      </c>
      <c r="G389" s="42">
        <v>0</v>
      </c>
      <c r="H389" s="42">
        <v>0</v>
      </c>
    </row>
    <row r="390" spans="1:11" x14ac:dyDescent="0.2">
      <c r="A390" s="34" t="s">
        <v>165</v>
      </c>
      <c r="B390" s="42">
        <v>7464</v>
      </c>
      <c r="C390" s="42">
        <v>1706</v>
      </c>
      <c r="D390" s="42">
        <v>0</v>
      </c>
      <c r="E390" s="42">
        <v>0</v>
      </c>
      <c r="F390" s="42">
        <v>0</v>
      </c>
      <c r="G390" s="42">
        <v>0</v>
      </c>
      <c r="H390" s="42">
        <v>0</v>
      </c>
    </row>
    <row r="391" spans="1:11" x14ac:dyDescent="0.2">
      <c r="A391" s="34" t="s">
        <v>166</v>
      </c>
      <c r="B391" s="42">
        <v>7610</v>
      </c>
      <c r="C391" s="42">
        <v>1681</v>
      </c>
      <c r="D391" s="42">
        <v>0</v>
      </c>
      <c r="E391" s="42">
        <v>0</v>
      </c>
      <c r="F391" s="42">
        <v>0</v>
      </c>
      <c r="G391" s="42">
        <v>0</v>
      </c>
      <c r="H391" s="42">
        <v>0</v>
      </c>
    </row>
    <row r="392" spans="1:11" x14ac:dyDescent="0.2">
      <c r="A392" s="34" t="s">
        <v>168</v>
      </c>
      <c r="B392" s="42">
        <v>7977</v>
      </c>
      <c r="C392" s="42">
        <v>1831</v>
      </c>
      <c r="D392" s="42">
        <v>0</v>
      </c>
      <c r="E392" s="42">
        <v>0</v>
      </c>
      <c r="F392" s="42">
        <v>0</v>
      </c>
      <c r="G392" s="42">
        <v>0</v>
      </c>
      <c r="H392" s="42">
        <v>0</v>
      </c>
    </row>
    <row r="393" spans="1:11" x14ac:dyDescent="0.2">
      <c r="A393" s="34" t="s">
        <v>195</v>
      </c>
      <c r="B393" s="42">
        <v>7759</v>
      </c>
      <c r="C393" s="42">
        <v>1749</v>
      </c>
      <c r="D393" s="42">
        <v>0</v>
      </c>
      <c r="E393" s="42">
        <v>0</v>
      </c>
      <c r="F393" s="42">
        <v>0</v>
      </c>
      <c r="G393" s="42">
        <v>0</v>
      </c>
      <c r="H393" s="42">
        <v>0</v>
      </c>
    </row>
    <row r="394" spans="1:11" x14ac:dyDescent="0.2">
      <c r="A394" s="34" t="s">
        <v>196</v>
      </c>
      <c r="B394" s="42">
        <v>8344</v>
      </c>
      <c r="C394" s="42">
        <v>1632</v>
      </c>
      <c r="D394" s="42">
        <v>0</v>
      </c>
      <c r="E394" s="42">
        <v>0</v>
      </c>
      <c r="F394" s="42">
        <v>0</v>
      </c>
      <c r="G394" s="42">
        <v>0</v>
      </c>
      <c r="H394" s="42">
        <v>0</v>
      </c>
    </row>
    <row r="395" spans="1:11" x14ac:dyDescent="0.2">
      <c r="A395" s="34" t="s">
        <v>210</v>
      </c>
      <c r="B395" s="42">
        <v>8998</v>
      </c>
      <c r="C395" s="42">
        <v>1436</v>
      </c>
      <c r="D395" s="42">
        <v>0</v>
      </c>
      <c r="E395" s="42">
        <v>0</v>
      </c>
      <c r="F395" s="42">
        <v>0</v>
      </c>
      <c r="G395" s="42">
        <v>0</v>
      </c>
      <c r="H395" s="42">
        <v>0</v>
      </c>
    </row>
    <row r="396" spans="1:11" x14ac:dyDescent="0.2">
      <c r="A396" s="43" t="s">
        <v>222</v>
      </c>
      <c r="B396" s="44">
        <v>8982</v>
      </c>
      <c r="C396" s="44">
        <v>1465</v>
      </c>
      <c r="D396" s="44">
        <v>0</v>
      </c>
      <c r="E396" s="44">
        <v>0</v>
      </c>
      <c r="F396" s="44">
        <v>0</v>
      </c>
      <c r="G396" s="44">
        <v>0</v>
      </c>
      <c r="H396" s="44">
        <v>0</v>
      </c>
    </row>
    <row r="397" spans="1:11" x14ac:dyDescent="0.2">
      <c r="A397" s="34" t="s">
        <v>18</v>
      </c>
      <c r="B397" s="42"/>
      <c r="C397" s="42"/>
      <c r="D397" s="42"/>
      <c r="E397" s="42"/>
      <c r="F397" s="42"/>
      <c r="G397" s="42"/>
      <c r="H397" s="42"/>
      <c r="J397" s="42"/>
    </row>
    <row r="398" spans="1:11" x14ac:dyDescent="0.2">
      <c r="A398" s="34" t="s">
        <v>217</v>
      </c>
      <c r="B398" s="42"/>
      <c r="C398" s="42"/>
      <c r="D398" s="42"/>
      <c r="E398" s="42"/>
      <c r="F398" s="42"/>
      <c r="G398" s="42"/>
      <c r="H398" s="42"/>
      <c r="J398" s="42"/>
    </row>
    <row r="399" spans="1:11" x14ac:dyDescent="0.2">
      <c r="A399" s="48" t="s">
        <v>240</v>
      </c>
      <c r="B399" s="42"/>
      <c r="C399" s="42"/>
      <c r="D399" s="42"/>
      <c r="E399" s="42"/>
      <c r="F399" s="42"/>
      <c r="G399" s="42"/>
      <c r="H399" s="42"/>
      <c r="J399" s="42"/>
    </row>
    <row r="400" spans="1:11" x14ac:dyDescent="0.2">
      <c r="J400" s="42"/>
    </row>
    <row r="401" spans="1:10" x14ac:dyDescent="0.2">
      <c r="J401" s="42"/>
    </row>
    <row r="402" spans="1:10" x14ac:dyDescent="0.2">
      <c r="A402" s="27" t="s">
        <v>268</v>
      </c>
      <c r="B402" s="92"/>
      <c r="C402" s="92"/>
      <c r="D402" s="92"/>
      <c r="E402" s="92"/>
      <c r="F402" s="92"/>
      <c r="G402" s="92"/>
      <c r="H402" s="92"/>
      <c r="J402" s="42"/>
    </row>
    <row r="403" spans="1:10" x14ac:dyDescent="0.2">
      <c r="A403" s="210" t="s">
        <v>154</v>
      </c>
      <c r="D403" s="212" t="s">
        <v>169</v>
      </c>
      <c r="E403" s="212"/>
      <c r="F403" s="212"/>
      <c r="G403" s="212"/>
      <c r="H403" s="212"/>
      <c r="J403" s="42"/>
    </row>
    <row r="404" spans="1:10" ht="25.5" x14ac:dyDescent="0.2">
      <c r="A404" s="211"/>
      <c r="B404" s="40" t="s">
        <v>170</v>
      </c>
      <c r="C404" s="40" t="s">
        <v>171</v>
      </c>
      <c r="D404" s="40" t="s">
        <v>172</v>
      </c>
      <c r="E404" s="40" t="s">
        <v>173</v>
      </c>
      <c r="F404" s="40" t="s">
        <v>174</v>
      </c>
      <c r="G404" s="40" t="s">
        <v>175</v>
      </c>
      <c r="H404" s="40" t="s">
        <v>176</v>
      </c>
      <c r="J404" s="42"/>
    </row>
    <row r="405" spans="1:10" x14ac:dyDescent="0.2">
      <c r="A405" s="20" t="s">
        <v>177</v>
      </c>
      <c r="B405" s="93"/>
      <c r="C405" s="41"/>
      <c r="D405" s="41"/>
      <c r="E405" s="41"/>
      <c r="F405" s="41"/>
      <c r="G405" s="41"/>
      <c r="H405" s="41"/>
      <c r="J405" s="42"/>
    </row>
    <row r="406" spans="1:10" x14ac:dyDescent="0.2">
      <c r="A406" s="34" t="s">
        <v>156</v>
      </c>
      <c r="B406" s="42">
        <v>231277</v>
      </c>
      <c r="C406" s="42">
        <v>28381</v>
      </c>
      <c r="D406" s="42">
        <v>2498</v>
      </c>
      <c r="E406" s="42">
        <v>6854</v>
      </c>
      <c r="F406" s="42">
        <v>9723</v>
      </c>
      <c r="G406" s="42">
        <v>3494</v>
      </c>
      <c r="H406" s="42">
        <v>524</v>
      </c>
      <c r="I406" s="42"/>
      <c r="J406" s="42"/>
    </row>
    <row r="407" spans="1:10" x14ac:dyDescent="0.2">
      <c r="A407" s="34" t="s">
        <v>157</v>
      </c>
      <c r="B407" s="42">
        <v>237859</v>
      </c>
      <c r="C407" s="42">
        <v>29258</v>
      </c>
      <c r="D407" s="42">
        <v>2595</v>
      </c>
      <c r="E407" s="42">
        <v>6903</v>
      </c>
      <c r="F407" s="42">
        <v>9734</v>
      </c>
      <c r="G407" s="42">
        <v>3418</v>
      </c>
      <c r="H407" s="42">
        <v>523</v>
      </c>
      <c r="I407" s="42"/>
    </row>
    <row r="408" spans="1:10" x14ac:dyDescent="0.2">
      <c r="A408" s="34" t="s">
        <v>158</v>
      </c>
      <c r="B408" s="42">
        <v>245304</v>
      </c>
      <c r="C408" s="42">
        <v>30180</v>
      </c>
      <c r="D408" s="42">
        <v>2695</v>
      </c>
      <c r="E408" s="42">
        <v>6958</v>
      </c>
      <c r="F408" s="42">
        <v>9787</v>
      </c>
      <c r="G408" s="42">
        <v>3347</v>
      </c>
      <c r="H408" s="42">
        <v>530</v>
      </c>
      <c r="I408" s="42"/>
    </row>
    <row r="409" spans="1:10" x14ac:dyDescent="0.2">
      <c r="A409" s="34" t="s">
        <v>159</v>
      </c>
      <c r="B409" s="42">
        <v>252607</v>
      </c>
      <c r="C409" s="42">
        <v>31032</v>
      </c>
      <c r="D409" s="42">
        <v>2718</v>
      </c>
      <c r="E409" s="42">
        <v>6983</v>
      </c>
      <c r="F409" s="42">
        <v>9748</v>
      </c>
      <c r="G409" s="42">
        <v>3252</v>
      </c>
      <c r="H409" s="42">
        <v>517</v>
      </c>
      <c r="I409" s="42"/>
    </row>
    <row r="410" spans="1:10" x14ac:dyDescent="0.2">
      <c r="A410" s="34" t="s">
        <v>160</v>
      </c>
      <c r="B410" s="42">
        <v>258349</v>
      </c>
      <c r="C410" s="42">
        <v>31921</v>
      </c>
      <c r="D410" s="42">
        <v>2762</v>
      </c>
      <c r="E410" s="42">
        <v>7022</v>
      </c>
      <c r="F410" s="42">
        <v>9755</v>
      </c>
      <c r="G410" s="42">
        <v>3191</v>
      </c>
      <c r="H410" s="42">
        <v>523</v>
      </c>
      <c r="I410" s="42"/>
    </row>
    <row r="411" spans="1:10" x14ac:dyDescent="0.2">
      <c r="A411" s="34" t="s">
        <v>161</v>
      </c>
      <c r="B411" s="42">
        <v>264435</v>
      </c>
      <c r="C411" s="42">
        <v>32849</v>
      </c>
      <c r="D411" s="42">
        <v>2820</v>
      </c>
      <c r="E411" s="42">
        <v>7068</v>
      </c>
      <c r="F411" s="42">
        <v>9722</v>
      </c>
      <c r="G411" s="42">
        <v>3132</v>
      </c>
      <c r="H411" s="42">
        <v>526</v>
      </c>
      <c r="I411" s="42"/>
    </row>
    <row r="412" spans="1:10" x14ac:dyDescent="0.2">
      <c r="A412" s="34" t="s">
        <v>162</v>
      </c>
      <c r="B412" s="42">
        <v>272122</v>
      </c>
      <c r="C412" s="42">
        <v>33804</v>
      </c>
      <c r="D412" s="42">
        <v>2864</v>
      </c>
      <c r="E412" s="42">
        <v>7207</v>
      </c>
      <c r="F412" s="42">
        <v>9790</v>
      </c>
      <c r="G412" s="42">
        <v>3090</v>
      </c>
      <c r="H412" s="42">
        <v>522</v>
      </c>
      <c r="I412" s="42"/>
    </row>
    <row r="413" spans="1:10" x14ac:dyDescent="0.2">
      <c r="A413" s="34" t="s">
        <v>163</v>
      </c>
      <c r="B413" s="42">
        <v>278374</v>
      </c>
      <c r="C413" s="42">
        <v>34522</v>
      </c>
      <c r="D413" s="42">
        <v>2922</v>
      </c>
      <c r="E413" s="42">
        <v>7245</v>
      </c>
      <c r="F413" s="42">
        <v>9779</v>
      </c>
      <c r="G413" s="42">
        <v>3021</v>
      </c>
      <c r="H413" s="42">
        <v>536</v>
      </c>
      <c r="I413" s="42"/>
    </row>
    <row r="414" spans="1:10" x14ac:dyDescent="0.2">
      <c r="A414" s="34" t="s">
        <v>164</v>
      </c>
      <c r="B414" s="42">
        <v>285140</v>
      </c>
      <c r="C414" s="42">
        <v>35138</v>
      </c>
      <c r="D414" s="42">
        <v>3079</v>
      </c>
      <c r="E414" s="42">
        <v>7018</v>
      </c>
      <c r="F414" s="42">
        <v>9609</v>
      </c>
      <c r="G414" s="42">
        <v>2835</v>
      </c>
      <c r="H414" s="42">
        <v>549</v>
      </c>
      <c r="I414" s="42"/>
    </row>
    <row r="415" spans="1:10" x14ac:dyDescent="0.2">
      <c r="A415" s="34" t="s">
        <v>165</v>
      </c>
      <c r="B415" s="42">
        <v>273626</v>
      </c>
      <c r="C415" s="42">
        <v>35055</v>
      </c>
      <c r="D415" s="42">
        <v>3255</v>
      </c>
      <c r="E415" s="42">
        <v>6815</v>
      </c>
      <c r="F415" s="42">
        <v>9304</v>
      </c>
      <c r="G415" s="42">
        <v>2698</v>
      </c>
      <c r="H415" s="42">
        <v>558</v>
      </c>
      <c r="I415" s="42"/>
    </row>
    <row r="416" spans="1:10" x14ac:dyDescent="0.2">
      <c r="A416" s="34" t="s">
        <v>166</v>
      </c>
      <c r="B416" s="42">
        <v>287376</v>
      </c>
      <c r="C416" s="42">
        <v>34957</v>
      </c>
      <c r="D416" s="42">
        <v>3375</v>
      </c>
      <c r="E416" s="42">
        <v>6645</v>
      </c>
      <c r="F416" s="42">
        <v>9224</v>
      </c>
      <c r="G416" s="42">
        <v>2600</v>
      </c>
      <c r="H416" s="42">
        <v>543</v>
      </c>
    </row>
    <row r="417" spans="1:10" x14ac:dyDescent="0.2">
      <c r="A417" s="34" t="s">
        <v>168</v>
      </c>
      <c r="B417" s="42">
        <v>292529</v>
      </c>
      <c r="C417" s="42">
        <v>35447</v>
      </c>
      <c r="D417" s="42">
        <v>3543</v>
      </c>
      <c r="E417" s="42">
        <v>6535</v>
      </c>
      <c r="F417" s="42">
        <v>9434</v>
      </c>
      <c r="G417" s="42">
        <v>2531</v>
      </c>
      <c r="H417" s="42">
        <v>621</v>
      </c>
    </row>
    <row r="418" spans="1:10" x14ac:dyDescent="0.2">
      <c r="A418" s="34" t="s">
        <v>195</v>
      </c>
      <c r="B418" s="42">
        <v>293849</v>
      </c>
      <c r="C418" s="42">
        <v>35630</v>
      </c>
      <c r="D418" s="42">
        <v>3733</v>
      </c>
      <c r="E418" s="42">
        <v>6203</v>
      </c>
      <c r="F418" s="42">
        <v>9306</v>
      </c>
      <c r="G418" s="42">
        <v>2416</v>
      </c>
      <c r="H418" s="42">
        <v>677</v>
      </c>
    </row>
    <row r="419" spans="1:10" x14ac:dyDescent="0.2">
      <c r="A419" s="34" t="s">
        <v>196</v>
      </c>
      <c r="B419" s="42">
        <v>297068</v>
      </c>
      <c r="C419" s="42">
        <v>36150</v>
      </c>
      <c r="D419" s="42">
        <v>4076</v>
      </c>
      <c r="E419" s="42">
        <v>5985</v>
      </c>
      <c r="F419" s="42">
        <v>9251</v>
      </c>
      <c r="G419" s="42">
        <v>2281</v>
      </c>
      <c r="H419" s="42">
        <v>718</v>
      </c>
    </row>
    <row r="420" spans="1:10" x14ac:dyDescent="0.2">
      <c r="A420" s="34" t="s">
        <v>210</v>
      </c>
      <c r="B420" s="42">
        <v>300748</v>
      </c>
      <c r="C420" s="42">
        <v>36609</v>
      </c>
      <c r="D420" s="42">
        <v>4736</v>
      </c>
      <c r="E420" s="42">
        <v>5661</v>
      </c>
      <c r="F420" s="42">
        <v>8936</v>
      </c>
      <c r="G420" s="42">
        <v>2114</v>
      </c>
      <c r="H420" s="42">
        <v>735</v>
      </c>
    </row>
    <row r="421" spans="1:10" x14ac:dyDescent="0.2">
      <c r="A421" s="34" t="s">
        <v>222</v>
      </c>
      <c r="B421" s="42">
        <v>304723</v>
      </c>
      <c r="C421" s="42">
        <v>36868</v>
      </c>
      <c r="D421" s="42">
        <v>6928</v>
      </c>
      <c r="E421" s="42">
        <v>4867</v>
      </c>
      <c r="F421" s="42">
        <v>7733</v>
      </c>
      <c r="G421" s="42">
        <v>1798</v>
      </c>
      <c r="H421" s="42">
        <v>741</v>
      </c>
    </row>
    <row r="422" spans="1:10" x14ac:dyDescent="0.2">
      <c r="A422" s="21" t="s">
        <v>178</v>
      </c>
      <c r="B422" s="42"/>
      <c r="C422" s="42"/>
      <c r="D422" s="42"/>
      <c r="E422" s="42"/>
      <c r="F422" s="42"/>
      <c r="G422" s="42"/>
      <c r="H422" s="42"/>
      <c r="I422" s="34"/>
      <c r="J422" s="42"/>
    </row>
    <row r="423" spans="1:10" x14ac:dyDescent="0.2">
      <c r="A423" s="34" t="s">
        <v>156</v>
      </c>
      <c r="B423" s="42">
        <v>20719</v>
      </c>
      <c r="C423" s="42">
        <v>1246</v>
      </c>
      <c r="D423" s="42">
        <v>2</v>
      </c>
      <c r="E423" s="42">
        <v>32</v>
      </c>
      <c r="F423" s="42">
        <v>6</v>
      </c>
      <c r="G423" s="42">
        <v>0</v>
      </c>
      <c r="H423" s="42">
        <v>32</v>
      </c>
      <c r="I423" s="34"/>
      <c r="J423" s="42"/>
    </row>
    <row r="424" spans="1:10" x14ac:dyDescent="0.2">
      <c r="A424" s="34" t="s">
        <v>157</v>
      </c>
      <c r="B424" s="42">
        <v>21203</v>
      </c>
      <c r="C424" s="42">
        <v>1268</v>
      </c>
      <c r="D424" s="42">
        <v>2</v>
      </c>
      <c r="E424" s="42">
        <v>19</v>
      </c>
      <c r="F424" s="42">
        <v>5</v>
      </c>
      <c r="G424" s="42">
        <v>0</v>
      </c>
      <c r="H424" s="42">
        <v>0</v>
      </c>
      <c r="I424" s="34"/>
      <c r="J424" s="42"/>
    </row>
    <row r="425" spans="1:10" x14ac:dyDescent="0.2">
      <c r="A425" s="34" t="s">
        <v>158</v>
      </c>
      <c r="B425" s="42">
        <v>21255</v>
      </c>
      <c r="C425" s="42">
        <v>1148</v>
      </c>
      <c r="D425" s="42">
        <v>4</v>
      </c>
      <c r="E425" s="42">
        <v>32</v>
      </c>
      <c r="F425" s="42">
        <v>6</v>
      </c>
      <c r="G425" s="42">
        <v>0</v>
      </c>
      <c r="H425" s="42">
        <v>0</v>
      </c>
      <c r="I425" s="34"/>
      <c r="J425" s="42"/>
    </row>
    <row r="426" spans="1:10" x14ac:dyDescent="0.2">
      <c r="A426" s="34" t="s">
        <v>159</v>
      </c>
      <c r="B426" s="42">
        <v>20196</v>
      </c>
      <c r="C426" s="42">
        <v>1293</v>
      </c>
      <c r="D426" s="42">
        <v>4</v>
      </c>
      <c r="E426" s="42">
        <v>27</v>
      </c>
      <c r="F426" s="42">
        <v>6</v>
      </c>
      <c r="G426" s="42">
        <v>1</v>
      </c>
      <c r="H426" s="42">
        <v>0</v>
      </c>
    </row>
    <row r="427" spans="1:10" x14ac:dyDescent="0.2">
      <c r="A427" s="34" t="s">
        <v>160</v>
      </c>
      <c r="B427" s="42">
        <v>19976</v>
      </c>
      <c r="C427" s="42">
        <v>1440</v>
      </c>
      <c r="D427" s="42">
        <v>1</v>
      </c>
      <c r="E427" s="42">
        <v>21</v>
      </c>
      <c r="F427" s="42">
        <v>4</v>
      </c>
      <c r="G427" s="42">
        <v>0</v>
      </c>
      <c r="H427" s="42">
        <v>0</v>
      </c>
    </row>
    <row r="428" spans="1:10" x14ac:dyDescent="0.2">
      <c r="A428" s="34" t="s">
        <v>161</v>
      </c>
      <c r="B428" s="42">
        <v>19756</v>
      </c>
      <c r="C428" s="42">
        <v>1240</v>
      </c>
      <c r="D428" s="42">
        <v>1</v>
      </c>
      <c r="E428" s="42">
        <v>16</v>
      </c>
      <c r="F428" s="42">
        <v>6</v>
      </c>
      <c r="G428" s="42">
        <v>0</v>
      </c>
      <c r="H428" s="42">
        <v>0</v>
      </c>
    </row>
    <row r="429" spans="1:10" x14ac:dyDescent="0.2">
      <c r="A429" s="34" t="s">
        <v>162</v>
      </c>
      <c r="B429" s="42">
        <v>19904</v>
      </c>
      <c r="C429" s="42">
        <v>1125</v>
      </c>
      <c r="D429" s="42">
        <v>1</v>
      </c>
      <c r="E429" s="42">
        <v>17</v>
      </c>
      <c r="F429" s="42">
        <v>5</v>
      </c>
      <c r="G429" s="42">
        <v>0</v>
      </c>
      <c r="H429" s="42">
        <v>0</v>
      </c>
    </row>
    <row r="430" spans="1:10" x14ac:dyDescent="0.2">
      <c r="A430" s="34" t="s">
        <v>163</v>
      </c>
      <c r="B430" s="42">
        <v>19589</v>
      </c>
      <c r="C430" s="42">
        <v>1109</v>
      </c>
      <c r="D430" s="42">
        <v>1</v>
      </c>
      <c r="E430" s="42">
        <v>16</v>
      </c>
      <c r="F430" s="42">
        <v>2</v>
      </c>
      <c r="G430" s="42">
        <v>0</v>
      </c>
      <c r="H430" s="42">
        <v>0</v>
      </c>
    </row>
    <row r="431" spans="1:10" x14ac:dyDescent="0.2">
      <c r="A431" s="34" t="s">
        <v>164</v>
      </c>
      <c r="B431" s="42">
        <v>19552</v>
      </c>
      <c r="C431" s="42">
        <v>1160</v>
      </c>
      <c r="D431" s="42">
        <v>0</v>
      </c>
      <c r="E431" s="42">
        <v>16</v>
      </c>
      <c r="F431" s="42">
        <v>6</v>
      </c>
      <c r="G431" s="42">
        <v>1</v>
      </c>
      <c r="H431" s="42">
        <v>0</v>
      </c>
    </row>
    <row r="432" spans="1:10" x14ac:dyDescent="0.2">
      <c r="A432" s="34" t="s">
        <v>165</v>
      </c>
      <c r="B432" s="42">
        <v>19739</v>
      </c>
      <c r="C432" s="42">
        <v>1143</v>
      </c>
      <c r="D432" s="42">
        <v>2</v>
      </c>
      <c r="E432" s="42">
        <v>19</v>
      </c>
      <c r="F432" s="42">
        <v>2</v>
      </c>
      <c r="G432" s="42">
        <v>0</v>
      </c>
      <c r="H432" s="42">
        <v>0</v>
      </c>
    </row>
    <row r="433" spans="1:8" x14ac:dyDescent="0.2">
      <c r="A433" s="34" t="s">
        <v>166</v>
      </c>
      <c r="B433" s="42">
        <v>19118</v>
      </c>
      <c r="C433" s="42">
        <v>1173</v>
      </c>
      <c r="D433" s="42">
        <v>5</v>
      </c>
      <c r="E433" s="42">
        <v>12</v>
      </c>
      <c r="F433" s="42">
        <v>7</v>
      </c>
      <c r="G433" s="42">
        <v>1</v>
      </c>
      <c r="H433" s="42">
        <v>0</v>
      </c>
    </row>
    <row r="434" spans="1:8" x14ac:dyDescent="0.2">
      <c r="A434" s="34" t="s">
        <v>168</v>
      </c>
      <c r="B434" s="42">
        <v>20029</v>
      </c>
      <c r="C434" s="42">
        <v>1231</v>
      </c>
      <c r="D434" s="42">
        <v>4</v>
      </c>
      <c r="E434" s="42">
        <v>12</v>
      </c>
      <c r="F434" s="42">
        <v>5</v>
      </c>
      <c r="G434" s="42">
        <v>0</v>
      </c>
      <c r="H434" s="42">
        <v>0</v>
      </c>
    </row>
    <row r="435" spans="1:8" x14ac:dyDescent="0.2">
      <c r="A435" s="34" t="s">
        <v>195</v>
      </c>
      <c r="B435" s="42">
        <v>20311</v>
      </c>
      <c r="C435" s="42">
        <v>1256</v>
      </c>
      <c r="D435" s="42">
        <v>1</v>
      </c>
      <c r="E435" s="42">
        <v>10</v>
      </c>
      <c r="F435" s="42">
        <v>5</v>
      </c>
      <c r="G435" s="42">
        <v>0</v>
      </c>
      <c r="H435" s="42">
        <v>0</v>
      </c>
    </row>
    <row r="436" spans="1:8" x14ac:dyDescent="0.2">
      <c r="A436" s="34" t="s">
        <v>196</v>
      </c>
      <c r="B436" s="42">
        <v>21145</v>
      </c>
      <c r="C436" s="42">
        <v>1286</v>
      </c>
      <c r="D436" s="42">
        <v>1</v>
      </c>
      <c r="E436" s="42">
        <v>10</v>
      </c>
      <c r="F436" s="42">
        <v>3</v>
      </c>
      <c r="G436" s="42">
        <v>2</v>
      </c>
      <c r="H436" s="42">
        <v>0</v>
      </c>
    </row>
    <row r="437" spans="1:8" x14ac:dyDescent="0.2">
      <c r="A437" s="34" t="s">
        <v>210</v>
      </c>
      <c r="B437" s="42">
        <v>21309</v>
      </c>
      <c r="C437" s="42">
        <v>1180</v>
      </c>
      <c r="D437" s="42">
        <v>1</v>
      </c>
      <c r="E437" s="42">
        <v>14</v>
      </c>
      <c r="F437" s="42">
        <v>12</v>
      </c>
      <c r="G437" s="42">
        <v>0</v>
      </c>
      <c r="H437" s="42">
        <v>0</v>
      </c>
    </row>
    <row r="438" spans="1:8" x14ac:dyDescent="0.2">
      <c r="A438" s="34" t="s">
        <v>222</v>
      </c>
      <c r="B438" s="42">
        <v>22381</v>
      </c>
      <c r="C438" s="42">
        <v>1294</v>
      </c>
      <c r="D438" s="42">
        <v>0</v>
      </c>
      <c r="E438" s="42">
        <v>16</v>
      </c>
      <c r="F438" s="42">
        <v>8</v>
      </c>
      <c r="G438" s="42">
        <v>2</v>
      </c>
      <c r="H438" s="42">
        <v>0</v>
      </c>
    </row>
    <row r="439" spans="1:8" x14ac:dyDescent="0.2">
      <c r="A439" s="21" t="s">
        <v>179</v>
      </c>
      <c r="B439" s="42"/>
      <c r="C439" s="42"/>
      <c r="D439" s="42"/>
      <c r="E439" s="42"/>
      <c r="F439" s="42"/>
      <c r="G439" s="42"/>
      <c r="H439" s="42"/>
    </row>
    <row r="440" spans="1:8" x14ac:dyDescent="0.2">
      <c r="A440" s="34" t="s">
        <v>156</v>
      </c>
      <c r="B440" s="42">
        <v>10734</v>
      </c>
      <c r="C440" s="42">
        <v>3673</v>
      </c>
      <c r="D440" s="42"/>
      <c r="E440" s="42"/>
      <c r="F440" s="42"/>
      <c r="G440" s="42"/>
      <c r="H440" s="42"/>
    </row>
    <row r="441" spans="1:8" x14ac:dyDescent="0.2">
      <c r="A441" s="34" t="s">
        <v>157</v>
      </c>
      <c r="B441" s="42">
        <v>10615</v>
      </c>
      <c r="C441" s="42">
        <v>3322</v>
      </c>
      <c r="D441" s="42"/>
      <c r="E441" s="42"/>
      <c r="F441" s="42"/>
      <c r="G441" s="42"/>
      <c r="H441" s="42"/>
    </row>
    <row r="442" spans="1:8" x14ac:dyDescent="0.2">
      <c r="A442" s="34" t="s">
        <v>158</v>
      </c>
      <c r="B442" s="42">
        <v>10810</v>
      </c>
      <c r="C442" s="42">
        <v>3437</v>
      </c>
      <c r="D442" s="42"/>
      <c r="E442" s="42"/>
      <c r="F442" s="42"/>
      <c r="G442" s="42"/>
      <c r="H442" s="42"/>
    </row>
    <row r="443" spans="1:8" x14ac:dyDescent="0.2">
      <c r="A443" s="34" t="s">
        <v>159</v>
      </c>
      <c r="B443" s="42">
        <v>10769</v>
      </c>
      <c r="C443" s="42">
        <v>3325</v>
      </c>
      <c r="D443" s="42"/>
      <c r="E443" s="42"/>
      <c r="F443" s="42"/>
      <c r="G443" s="42"/>
      <c r="H443" s="42"/>
    </row>
    <row r="444" spans="1:8" x14ac:dyDescent="0.2">
      <c r="A444" s="34" t="s">
        <v>160</v>
      </c>
      <c r="B444" s="42">
        <v>10513</v>
      </c>
      <c r="C444" s="42">
        <v>1874</v>
      </c>
      <c r="D444" s="42"/>
      <c r="E444" s="42"/>
      <c r="F444" s="42"/>
      <c r="G444" s="42"/>
      <c r="H444" s="42"/>
    </row>
    <row r="445" spans="1:8" x14ac:dyDescent="0.2">
      <c r="A445" s="34" t="s">
        <v>161</v>
      </c>
      <c r="B445" s="42">
        <v>10994</v>
      </c>
      <c r="C445" s="42">
        <v>1874</v>
      </c>
      <c r="D445" s="42"/>
      <c r="E445" s="42"/>
      <c r="F445" s="42"/>
      <c r="G445" s="42"/>
      <c r="H445" s="42"/>
    </row>
    <row r="446" spans="1:8" x14ac:dyDescent="0.2">
      <c r="A446" s="34" t="s">
        <v>162</v>
      </c>
      <c r="B446" s="42">
        <v>11030</v>
      </c>
      <c r="C446" s="42">
        <v>1774</v>
      </c>
      <c r="D446" s="42"/>
      <c r="E446" s="42"/>
      <c r="F446" s="42"/>
      <c r="G446" s="42"/>
      <c r="H446" s="42"/>
    </row>
    <row r="447" spans="1:8" x14ac:dyDescent="0.2">
      <c r="A447" s="34" t="s">
        <v>163</v>
      </c>
      <c r="B447" s="42">
        <v>11037</v>
      </c>
      <c r="C447" s="42">
        <v>1768</v>
      </c>
      <c r="D447" s="42"/>
      <c r="E447" s="42"/>
      <c r="F447" s="42"/>
      <c r="G447" s="42"/>
      <c r="H447" s="42"/>
    </row>
    <row r="448" spans="1:8" x14ac:dyDescent="0.2">
      <c r="A448" s="34" t="s">
        <v>164</v>
      </c>
      <c r="B448" s="42">
        <v>11345</v>
      </c>
      <c r="C448" s="42">
        <v>1824</v>
      </c>
      <c r="D448" s="42"/>
      <c r="E448" s="42"/>
      <c r="F448" s="42"/>
      <c r="G448" s="42"/>
      <c r="H448" s="42"/>
    </row>
    <row r="449" spans="1:8" x14ac:dyDescent="0.2">
      <c r="A449" s="34" t="s">
        <v>165</v>
      </c>
      <c r="B449" s="42">
        <v>11308</v>
      </c>
      <c r="C449" s="42">
        <v>1831</v>
      </c>
      <c r="D449" s="42"/>
      <c r="E449" s="42"/>
      <c r="F449" s="42"/>
      <c r="G449" s="42"/>
      <c r="H449" s="42"/>
    </row>
    <row r="450" spans="1:8" x14ac:dyDescent="0.2">
      <c r="A450" s="34" t="s">
        <v>166</v>
      </c>
      <c r="B450" s="42">
        <v>11868</v>
      </c>
      <c r="C450" s="42">
        <v>2140</v>
      </c>
      <c r="D450" s="42"/>
      <c r="E450" s="42"/>
      <c r="F450" s="42"/>
      <c r="G450" s="42"/>
      <c r="H450" s="42"/>
    </row>
    <row r="451" spans="1:8" x14ac:dyDescent="0.2">
      <c r="A451" s="34" t="s">
        <v>168</v>
      </c>
      <c r="B451" s="42">
        <v>12817</v>
      </c>
      <c r="C451" s="42">
        <v>2647</v>
      </c>
      <c r="D451" s="42"/>
      <c r="E451" s="42"/>
      <c r="F451" s="42"/>
      <c r="G451" s="42"/>
      <c r="H451" s="42"/>
    </row>
    <row r="452" spans="1:8" x14ac:dyDescent="0.2">
      <c r="A452" s="34" t="s">
        <v>195</v>
      </c>
      <c r="B452" s="42">
        <v>13512</v>
      </c>
      <c r="C452" s="42">
        <v>2419</v>
      </c>
      <c r="D452" s="42"/>
      <c r="E452" s="42"/>
      <c r="F452" s="42"/>
      <c r="G452" s="42"/>
      <c r="H452" s="42"/>
    </row>
    <row r="453" spans="1:8" x14ac:dyDescent="0.2">
      <c r="A453" s="34" t="s">
        <v>196</v>
      </c>
      <c r="B453" s="42">
        <v>15381</v>
      </c>
      <c r="C453" s="42">
        <v>1829</v>
      </c>
      <c r="D453" s="42"/>
      <c r="E453" s="42"/>
      <c r="F453" s="42"/>
      <c r="G453" s="42"/>
      <c r="H453" s="42"/>
    </row>
    <row r="454" spans="1:8" x14ac:dyDescent="0.2">
      <c r="A454" s="34" t="s">
        <v>210</v>
      </c>
      <c r="B454" s="42">
        <v>16940</v>
      </c>
      <c r="C454" s="42">
        <v>1978</v>
      </c>
      <c r="D454" s="42"/>
      <c r="E454" s="42"/>
      <c r="F454" s="42"/>
      <c r="G454" s="42"/>
      <c r="H454" s="42"/>
    </row>
    <row r="455" spans="1:8" x14ac:dyDescent="0.2">
      <c r="A455" s="43" t="s">
        <v>222</v>
      </c>
      <c r="B455" s="44">
        <v>17603</v>
      </c>
      <c r="C455" s="44">
        <v>1839</v>
      </c>
      <c r="D455" s="44"/>
      <c r="E455" s="44"/>
      <c r="F455" s="44"/>
      <c r="G455" s="44"/>
      <c r="H455" s="44"/>
    </row>
    <row r="456" spans="1:8" x14ac:dyDescent="0.2">
      <c r="A456" s="34" t="s">
        <v>18</v>
      </c>
    </row>
    <row r="457" spans="1:8" x14ac:dyDescent="0.2">
      <c r="A457" s="34" t="s">
        <v>218</v>
      </c>
      <c r="B457" s="42"/>
      <c r="C457" s="42"/>
      <c r="D457" s="42"/>
      <c r="E457" s="42"/>
      <c r="F457" s="42"/>
      <c r="G457" s="42"/>
      <c r="H457" s="42"/>
    </row>
    <row r="458" spans="1:8" x14ac:dyDescent="0.2">
      <c r="A458" s="21" t="s">
        <v>400</v>
      </c>
    </row>
    <row r="461" spans="1:8" x14ac:dyDescent="0.2">
      <c r="A461" s="27" t="s">
        <v>267</v>
      </c>
      <c r="B461" s="92"/>
      <c r="C461" s="92"/>
      <c r="D461" s="92"/>
      <c r="E461" s="92"/>
      <c r="F461" s="92"/>
      <c r="G461" s="92"/>
      <c r="H461" s="92"/>
    </row>
    <row r="462" spans="1:8" x14ac:dyDescent="0.2">
      <c r="A462" s="210" t="s">
        <v>154</v>
      </c>
      <c r="B462" s="93"/>
      <c r="C462" s="93"/>
      <c r="D462" s="212" t="s">
        <v>169</v>
      </c>
      <c r="E462" s="212"/>
      <c r="F462" s="212"/>
      <c r="G462" s="212"/>
      <c r="H462" s="212"/>
    </row>
    <row r="463" spans="1:8" ht="25.5" x14ac:dyDescent="0.2">
      <c r="A463" s="213"/>
      <c r="B463" s="39" t="s">
        <v>170</v>
      </c>
      <c r="C463" s="39" t="s">
        <v>171</v>
      </c>
      <c r="D463" s="39" t="s">
        <v>172</v>
      </c>
      <c r="E463" s="39" t="s">
        <v>173</v>
      </c>
      <c r="F463" s="39" t="s">
        <v>174</v>
      </c>
      <c r="G463" s="39" t="s">
        <v>175</v>
      </c>
      <c r="H463" s="39" t="s">
        <v>176</v>
      </c>
    </row>
    <row r="464" spans="1:8" x14ac:dyDescent="0.2">
      <c r="A464" s="22" t="s">
        <v>177</v>
      </c>
      <c r="B464" s="42"/>
      <c r="C464" s="42"/>
      <c r="D464" s="42"/>
      <c r="E464" s="42"/>
      <c r="F464" s="42"/>
      <c r="G464" s="42"/>
      <c r="H464" s="42"/>
    </row>
    <row r="465" spans="1:19" x14ac:dyDescent="0.2">
      <c r="A465" s="34" t="s">
        <v>159</v>
      </c>
      <c r="B465" s="42">
        <v>12864759</v>
      </c>
      <c r="C465" s="42">
        <v>1854384</v>
      </c>
      <c r="D465" s="42">
        <v>240760</v>
      </c>
      <c r="E465" s="42">
        <v>422603</v>
      </c>
      <c r="F465" s="42">
        <v>900956</v>
      </c>
      <c r="G465" s="42">
        <v>456832</v>
      </c>
      <c r="H465" s="42">
        <v>141020</v>
      </c>
      <c r="K465" s="42"/>
      <c r="L465" s="42"/>
      <c r="M465" s="42"/>
      <c r="N465" s="42"/>
      <c r="O465" s="42"/>
      <c r="P465" s="42"/>
      <c r="Q465" s="42"/>
      <c r="R465" s="42"/>
      <c r="S465" s="42"/>
    </row>
    <row r="466" spans="1:19" x14ac:dyDescent="0.2">
      <c r="A466" s="34" t="s">
        <v>160</v>
      </c>
      <c r="B466" s="42">
        <v>13064462</v>
      </c>
      <c r="C466" s="42">
        <v>1894492</v>
      </c>
      <c r="D466" s="42">
        <v>248247</v>
      </c>
      <c r="E466" s="42">
        <v>425725</v>
      </c>
      <c r="F466" s="42">
        <v>904135</v>
      </c>
      <c r="G466" s="42">
        <v>448256</v>
      </c>
      <c r="H466" s="42">
        <v>148128</v>
      </c>
      <c r="K466" s="42"/>
      <c r="L466" s="42"/>
      <c r="M466" s="42"/>
      <c r="N466" s="42"/>
      <c r="O466" s="42"/>
      <c r="P466" s="42"/>
      <c r="Q466" s="42"/>
      <c r="R466" s="42"/>
      <c r="S466" s="42"/>
    </row>
    <row r="467" spans="1:19" x14ac:dyDescent="0.2">
      <c r="A467" s="34" t="s">
        <v>161</v>
      </c>
      <c r="B467" s="42">
        <v>13326662</v>
      </c>
      <c r="C467" s="42">
        <v>1934399</v>
      </c>
      <c r="D467" s="42">
        <v>253902</v>
      </c>
      <c r="E467" s="42">
        <v>429378</v>
      </c>
      <c r="F467" s="42">
        <v>909559</v>
      </c>
      <c r="G467" s="42">
        <v>440102</v>
      </c>
      <c r="H467" s="42">
        <v>154775</v>
      </c>
      <c r="K467" s="42"/>
      <c r="L467" s="42"/>
      <c r="M467" s="42"/>
      <c r="N467" s="42"/>
      <c r="O467" s="42"/>
      <c r="P467" s="42"/>
      <c r="Q467" s="42"/>
      <c r="R467" s="42"/>
      <c r="S467" s="42"/>
    </row>
    <row r="468" spans="1:19" x14ac:dyDescent="0.2">
      <c r="A468" s="34" t="s">
        <v>162</v>
      </c>
      <c r="B468" s="42">
        <v>13605304</v>
      </c>
      <c r="C468" s="42">
        <v>2034047</v>
      </c>
      <c r="D468" s="42">
        <v>257743</v>
      </c>
      <c r="E468" s="42">
        <v>435018</v>
      </c>
      <c r="F468" s="42">
        <v>918349</v>
      </c>
      <c r="G468" s="42">
        <v>433677</v>
      </c>
      <c r="H468" s="42">
        <v>160962</v>
      </c>
      <c r="K468" s="42"/>
      <c r="L468" s="42"/>
      <c r="M468" s="42"/>
      <c r="N468" s="42"/>
      <c r="O468" s="42"/>
      <c r="P468" s="42"/>
      <c r="Q468" s="42"/>
      <c r="R468" s="42"/>
      <c r="S468" s="42"/>
    </row>
    <row r="469" spans="1:19" x14ac:dyDescent="0.2">
      <c r="A469" s="34" t="s">
        <v>163</v>
      </c>
      <c r="B469" s="42">
        <v>13859154</v>
      </c>
      <c r="C469" s="42">
        <v>2016402</v>
      </c>
      <c r="D469" s="42">
        <v>261467</v>
      </c>
      <c r="E469" s="42">
        <v>437279</v>
      </c>
      <c r="F469" s="42">
        <v>926768</v>
      </c>
      <c r="G469" s="42">
        <v>428534</v>
      </c>
      <c r="H469" s="42">
        <v>166917</v>
      </c>
      <c r="K469" s="42"/>
      <c r="L469" s="42"/>
      <c r="M469" s="42"/>
      <c r="N469" s="42"/>
      <c r="O469" s="42"/>
      <c r="P469" s="42"/>
      <c r="Q469" s="42"/>
      <c r="R469" s="42"/>
      <c r="S469" s="42"/>
    </row>
    <row r="470" spans="1:19" x14ac:dyDescent="0.2">
      <c r="A470" s="34" t="s">
        <v>164</v>
      </c>
      <c r="B470" s="42">
        <v>14160246</v>
      </c>
      <c r="C470" s="42">
        <v>2042867</v>
      </c>
      <c r="D470" s="42">
        <v>265313</v>
      </c>
      <c r="E470" s="42">
        <v>441776</v>
      </c>
      <c r="F470" s="42">
        <v>935941</v>
      </c>
      <c r="G470" s="42">
        <v>422867</v>
      </c>
      <c r="H470" s="42">
        <v>172807</v>
      </c>
      <c r="K470" s="42"/>
      <c r="L470" s="42"/>
      <c r="M470" s="42"/>
      <c r="N470" s="42"/>
      <c r="O470" s="42"/>
      <c r="P470" s="42"/>
      <c r="Q470" s="42"/>
      <c r="R470" s="42"/>
      <c r="S470" s="42"/>
    </row>
    <row r="471" spans="1:19" x14ac:dyDescent="0.2">
      <c r="A471" s="34" t="s">
        <v>165</v>
      </c>
      <c r="B471" s="42">
        <v>14428110</v>
      </c>
      <c r="C471" s="42">
        <v>2062777</v>
      </c>
      <c r="D471" s="42">
        <v>268234</v>
      </c>
      <c r="E471" s="42">
        <v>443799</v>
      </c>
      <c r="F471" s="42">
        <v>945198</v>
      </c>
      <c r="G471" s="42">
        <v>416737</v>
      </c>
      <c r="H471" s="42">
        <v>178248</v>
      </c>
      <c r="K471" s="42"/>
      <c r="L471" s="42"/>
      <c r="M471" s="42"/>
      <c r="N471" s="42"/>
      <c r="O471" s="42"/>
      <c r="P471" s="42"/>
      <c r="Q471" s="42"/>
      <c r="R471" s="42"/>
      <c r="S471" s="42"/>
    </row>
    <row r="472" spans="1:19" x14ac:dyDescent="0.2">
      <c r="A472" s="34" t="s">
        <v>166</v>
      </c>
      <c r="B472" s="42">
        <v>14760087</v>
      </c>
      <c r="C472" s="42">
        <v>2093864</v>
      </c>
      <c r="D472" s="42">
        <v>272970</v>
      </c>
      <c r="E472" s="42">
        <v>445650</v>
      </c>
      <c r="F472" s="42">
        <v>954778</v>
      </c>
      <c r="G472" s="42">
        <v>409688</v>
      </c>
      <c r="H472" s="42">
        <v>185166</v>
      </c>
      <c r="K472" s="42"/>
      <c r="L472" s="42"/>
      <c r="M472" s="42"/>
      <c r="N472" s="42"/>
      <c r="O472" s="42"/>
      <c r="P472" s="42"/>
      <c r="Q472" s="42"/>
      <c r="R472" s="42"/>
      <c r="S472" s="42"/>
    </row>
    <row r="473" spans="1:19" x14ac:dyDescent="0.2">
      <c r="A473" s="34" t="s">
        <v>168</v>
      </c>
      <c r="B473" s="42">
        <v>15032678</v>
      </c>
      <c r="C473" s="42">
        <v>2116232</v>
      </c>
      <c r="D473" s="42">
        <v>275095</v>
      </c>
      <c r="E473" s="42">
        <v>445388</v>
      </c>
      <c r="F473" s="42">
        <v>963339</v>
      </c>
      <c r="G473" s="42">
        <v>401701</v>
      </c>
      <c r="H473" s="42">
        <v>193777</v>
      </c>
      <c r="K473" s="42"/>
      <c r="L473" s="42"/>
      <c r="M473" s="42"/>
      <c r="N473" s="42"/>
      <c r="O473" s="42"/>
      <c r="P473" s="42"/>
      <c r="Q473" s="42"/>
      <c r="R473" s="42"/>
      <c r="S473" s="42"/>
    </row>
    <row r="474" spans="1:19" x14ac:dyDescent="0.2">
      <c r="A474" s="34" t="s">
        <v>195</v>
      </c>
      <c r="B474" s="42">
        <v>15291930</v>
      </c>
      <c r="C474" s="42">
        <v>2140543</v>
      </c>
      <c r="D474" s="42">
        <v>276815</v>
      </c>
      <c r="E474" s="42">
        <v>446791</v>
      </c>
      <c r="F474" s="42">
        <v>972350</v>
      </c>
      <c r="G474" s="42">
        <v>395150</v>
      </c>
      <c r="H474" s="42">
        <v>202523</v>
      </c>
      <c r="K474" s="42"/>
      <c r="L474" s="42"/>
      <c r="M474" s="42"/>
      <c r="N474" s="42"/>
      <c r="O474" s="42"/>
      <c r="P474" s="42"/>
      <c r="Q474" s="42"/>
      <c r="R474" s="42"/>
      <c r="S474" s="42"/>
    </row>
    <row r="475" spans="1:19" x14ac:dyDescent="0.2">
      <c r="A475" s="34" t="s">
        <v>196</v>
      </c>
      <c r="B475" s="42">
        <v>15560312</v>
      </c>
      <c r="C475" s="42">
        <v>2161596</v>
      </c>
      <c r="D475" s="42">
        <v>279349</v>
      </c>
      <c r="E475" s="42">
        <v>447804</v>
      </c>
      <c r="F475" s="42">
        <v>987620</v>
      </c>
      <c r="G475" s="42">
        <v>388475</v>
      </c>
      <c r="H475" s="42">
        <v>210302</v>
      </c>
      <c r="K475" s="42"/>
      <c r="L475" s="42"/>
      <c r="M475" s="42"/>
      <c r="N475" s="42"/>
      <c r="O475" s="42"/>
      <c r="P475" s="42"/>
      <c r="Q475" s="42"/>
      <c r="R475" s="42"/>
      <c r="S475" s="42"/>
    </row>
    <row r="476" spans="1:19" x14ac:dyDescent="0.2">
      <c r="A476" s="34" t="s">
        <v>210</v>
      </c>
      <c r="B476" s="42">
        <v>15942662</v>
      </c>
      <c r="C476" s="42">
        <v>2187424</v>
      </c>
      <c r="D476" s="42">
        <v>281455</v>
      </c>
      <c r="E476" s="42">
        <v>449170</v>
      </c>
      <c r="F476" s="42">
        <v>1007078</v>
      </c>
      <c r="G476" s="42">
        <v>382166</v>
      </c>
      <c r="H476" s="42">
        <v>218569</v>
      </c>
      <c r="K476" s="42"/>
      <c r="L476" s="42"/>
      <c r="M476" s="42"/>
      <c r="N476" s="42"/>
      <c r="O476" s="42"/>
      <c r="P476" s="42"/>
      <c r="Q476" s="42"/>
      <c r="R476" s="42"/>
      <c r="S476" s="42"/>
    </row>
    <row r="477" spans="1:19" x14ac:dyDescent="0.2">
      <c r="A477" s="34" t="s">
        <v>222</v>
      </c>
      <c r="B477" s="42">
        <v>16339568</v>
      </c>
      <c r="C477" s="42">
        <v>2211250</v>
      </c>
      <c r="D477" s="42">
        <v>284220</v>
      </c>
      <c r="E477" s="42">
        <v>448728</v>
      </c>
      <c r="F477" s="42">
        <v>1024376</v>
      </c>
      <c r="G477" s="42">
        <v>374340</v>
      </c>
      <c r="H477" s="42">
        <v>227668</v>
      </c>
      <c r="K477" s="42"/>
      <c r="L477" s="42"/>
      <c r="M477" s="42"/>
      <c r="N477" s="42"/>
      <c r="O477" s="42"/>
      <c r="P477" s="42"/>
      <c r="Q477" s="42"/>
      <c r="R477" s="42"/>
      <c r="S477" s="42"/>
    </row>
    <row r="478" spans="1:19" x14ac:dyDescent="0.2">
      <c r="A478" s="21" t="s">
        <v>178</v>
      </c>
      <c r="K478" s="97"/>
    </row>
    <row r="479" spans="1:19" x14ac:dyDescent="0.2">
      <c r="A479" s="34" t="s">
        <v>159</v>
      </c>
      <c r="B479" s="42">
        <v>1066795</v>
      </c>
      <c r="C479" s="42">
        <v>51388</v>
      </c>
      <c r="D479" s="42">
        <v>545</v>
      </c>
      <c r="E479" s="42">
        <v>4767</v>
      </c>
      <c r="F479" s="42">
        <v>4254</v>
      </c>
      <c r="G479" s="42">
        <v>827</v>
      </c>
      <c r="H479" s="42">
        <v>540</v>
      </c>
      <c r="K479" s="42"/>
      <c r="L479" s="42"/>
      <c r="M479" s="42"/>
      <c r="N479" s="42"/>
      <c r="O479" s="42"/>
      <c r="P479" s="42"/>
      <c r="Q479" s="42"/>
      <c r="R479" s="42"/>
    </row>
    <row r="480" spans="1:19" x14ac:dyDescent="0.2">
      <c r="A480" s="34" t="s">
        <v>160</v>
      </c>
      <c r="B480" s="42">
        <v>1083221</v>
      </c>
      <c r="C480" s="42">
        <v>53349</v>
      </c>
      <c r="D480" s="42">
        <v>512</v>
      </c>
      <c r="E480" s="42">
        <v>4756</v>
      </c>
      <c r="F480" s="42">
        <v>4484</v>
      </c>
      <c r="G480" s="42">
        <v>860</v>
      </c>
      <c r="H480" s="42">
        <v>604</v>
      </c>
      <c r="K480" s="42"/>
      <c r="L480" s="42"/>
      <c r="M480" s="42"/>
      <c r="N480" s="42"/>
      <c r="O480" s="42"/>
      <c r="P480" s="42"/>
      <c r="Q480" s="42"/>
      <c r="R480" s="42"/>
    </row>
    <row r="481" spans="1:18" x14ac:dyDescent="0.2">
      <c r="A481" s="34" t="s">
        <v>161</v>
      </c>
      <c r="B481" s="42">
        <v>1087674</v>
      </c>
      <c r="C481" s="42">
        <v>53788</v>
      </c>
      <c r="D481" s="42">
        <v>487</v>
      </c>
      <c r="E481" s="42">
        <v>4542</v>
      </c>
      <c r="F481" s="42">
        <v>4543</v>
      </c>
      <c r="G481" s="42">
        <v>810</v>
      </c>
      <c r="H481" s="42">
        <v>572</v>
      </c>
      <c r="K481" s="42"/>
      <c r="L481" s="42"/>
      <c r="M481" s="42"/>
      <c r="N481" s="42"/>
      <c r="O481" s="42"/>
      <c r="P481" s="42"/>
      <c r="Q481" s="42"/>
      <c r="R481" s="42"/>
    </row>
    <row r="482" spans="1:18" x14ac:dyDescent="0.2">
      <c r="A482" s="34" t="s">
        <v>162</v>
      </c>
      <c r="B482" s="42">
        <v>1120047</v>
      </c>
      <c r="C482" s="42">
        <v>53421</v>
      </c>
      <c r="D482" s="42">
        <v>463</v>
      </c>
      <c r="E482" s="42">
        <v>4464</v>
      </c>
      <c r="F482" s="42">
        <v>4679</v>
      </c>
      <c r="G482" s="42">
        <v>759</v>
      </c>
      <c r="H482" s="42">
        <v>702</v>
      </c>
      <c r="K482" s="42"/>
      <c r="L482" s="42"/>
      <c r="M482" s="42"/>
      <c r="N482" s="42"/>
      <c r="O482" s="42"/>
      <c r="P482" s="42"/>
      <c r="Q482" s="42"/>
      <c r="R482" s="42"/>
    </row>
    <row r="483" spans="1:18" x14ac:dyDescent="0.2">
      <c r="A483" s="34" t="s">
        <v>163</v>
      </c>
      <c r="B483" s="42">
        <v>1140217</v>
      </c>
      <c r="C483" s="42">
        <v>51295</v>
      </c>
      <c r="D483" s="42">
        <v>463</v>
      </c>
      <c r="E483" s="42">
        <v>4417</v>
      </c>
      <c r="F483" s="42">
        <v>4781</v>
      </c>
      <c r="G483" s="42">
        <v>782</v>
      </c>
      <c r="H483" s="42">
        <v>661</v>
      </c>
      <c r="K483" s="42"/>
      <c r="L483" s="42"/>
      <c r="M483" s="42"/>
      <c r="N483" s="42"/>
      <c r="O483" s="42"/>
      <c r="P483" s="42"/>
      <c r="Q483" s="42"/>
      <c r="R483" s="42"/>
    </row>
    <row r="484" spans="1:18" x14ac:dyDescent="0.2">
      <c r="A484" s="34" t="s">
        <v>164</v>
      </c>
      <c r="B484" s="42">
        <v>1121255</v>
      </c>
      <c r="C484" s="42">
        <v>46995</v>
      </c>
      <c r="D484" s="42">
        <v>423</v>
      </c>
      <c r="E484" s="42">
        <v>4068</v>
      </c>
      <c r="F484" s="42">
        <v>4550</v>
      </c>
      <c r="G484" s="42">
        <v>760</v>
      </c>
      <c r="H484" s="42">
        <v>636</v>
      </c>
      <c r="K484" s="42"/>
      <c r="L484" s="42"/>
      <c r="M484" s="42"/>
      <c r="N484" s="42"/>
      <c r="O484" s="42"/>
      <c r="P484" s="42"/>
      <c r="Q484" s="42"/>
      <c r="R484" s="42"/>
    </row>
    <row r="485" spans="1:18" x14ac:dyDescent="0.2">
      <c r="A485" s="34" t="s">
        <v>165</v>
      </c>
      <c r="B485" s="42">
        <v>1083142</v>
      </c>
      <c r="C485" s="42">
        <v>46406</v>
      </c>
      <c r="D485" s="42">
        <v>390</v>
      </c>
      <c r="E485" s="42">
        <v>3845</v>
      </c>
      <c r="F485" s="42">
        <v>4389</v>
      </c>
      <c r="G485" s="42">
        <v>701</v>
      </c>
      <c r="H485" s="42">
        <v>657</v>
      </c>
      <c r="K485" s="42"/>
      <c r="L485" s="42"/>
      <c r="M485" s="42"/>
      <c r="N485" s="42"/>
      <c r="O485" s="42"/>
      <c r="P485" s="42"/>
      <c r="Q485" s="42"/>
      <c r="R485" s="42"/>
    </row>
    <row r="486" spans="1:18" x14ac:dyDescent="0.2">
      <c r="A486" s="34" t="s">
        <v>166</v>
      </c>
      <c r="B486" s="42">
        <v>1009685</v>
      </c>
      <c r="C486" s="42">
        <v>44329</v>
      </c>
      <c r="D486" s="42">
        <v>332</v>
      </c>
      <c r="E486" s="42">
        <v>3411</v>
      </c>
      <c r="F486" s="42">
        <v>4137</v>
      </c>
      <c r="G486" s="42">
        <v>646</v>
      </c>
      <c r="H486" s="42">
        <v>670</v>
      </c>
      <c r="K486" s="42"/>
      <c r="L486" s="42"/>
      <c r="M486" s="42"/>
      <c r="N486" s="42"/>
      <c r="O486" s="42"/>
      <c r="P486" s="42"/>
      <c r="Q486" s="42"/>
      <c r="R486" s="42"/>
    </row>
    <row r="487" spans="1:18" x14ac:dyDescent="0.2">
      <c r="A487" s="34" t="s">
        <v>168</v>
      </c>
      <c r="B487" s="42">
        <v>1057464</v>
      </c>
      <c r="C487" s="42">
        <v>45177</v>
      </c>
      <c r="D487" s="42">
        <v>335</v>
      </c>
      <c r="E487" s="42">
        <v>3265</v>
      </c>
      <c r="F487" s="42">
        <v>4086</v>
      </c>
      <c r="G487" s="42">
        <v>616</v>
      </c>
      <c r="H487" s="42">
        <v>596</v>
      </c>
      <c r="K487" s="42"/>
      <c r="L487" s="42"/>
      <c r="M487" s="42"/>
      <c r="N487" s="42"/>
      <c r="O487" s="42"/>
      <c r="P487" s="42"/>
      <c r="Q487" s="42"/>
      <c r="R487" s="42"/>
    </row>
    <row r="488" spans="1:18" x14ac:dyDescent="0.2">
      <c r="A488" s="34" t="s">
        <v>195</v>
      </c>
      <c r="B488" s="42">
        <v>1057431</v>
      </c>
      <c r="C488" s="42">
        <v>44149</v>
      </c>
      <c r="D488" s="42">
        <v>339</v>
      </c>
      <c r="E488" s="42">
        <v>3318</v>
      </c>
      <c r="F488" s="42">
        <v>4044</v>
      </c>
      <c r="G488" s="42">
        <v>620</v>
      </c>
      <c r="H488" s="42">
        <v>616</v>
      </c>
      <c r="K488" s="42"/>
      <c r="L488" s="42"/>
      <c r="M488" s="42"/>
      <c r="N488" s="42"/>
      <c r="O488" s="42"/>
      <c r="P488" s="42"/>
      <c r="Q488" s="42"/>
      <c r="R488" s="42"/>
    </row>
    <row r="489" spans="1:18" x14ac:dyDescent="0.2">
      <c r="A489" s="34" t="s">
        <v>196</v>
      </c>
      <c r="B489" s="42">
        <v>1115400</v>
      </c>
      <c r="C489" s="42">
        <v>44151</v>
      </c>
      <c r="D489" s="42">
        <v>392</v>
      </c>
      <c r="E489" s="42">
        <v>3578</v>
      </c>
      <c r="F489" s="42">
        <v>4703</v>
      </c>
      <c r="G489" s="42">
        <v>613</v>
      </c>
      <c r="H489" s="42">
        <v>674</v>
      </c>
      <c r="K489" s="42"/>
      <c r="L489" s="42"/>
      <c r="M489" s="42"/>
      <c r="N489" s="42"/>
      <c r="O489" s="42"/>
      <c r="P489" s="42"/>
      <c r="Q489" s="42"/>
      <c r="R489" s="42"/>
    </row>
    <row r="490" spans="1:18" x14ac:dyDescent="0.2">
      <c r="A490" s="34" t="s">
        <v>210</v>
      </c>
      <c r="B490" s="42">
        <v>1140066</v>
      </c>
      <c r="C490" s="42">
        <v>44918</v>
      </c>
      <c r="D490" s="42">
        <v>378</v>
      </c>
      <c r="E490" s="42">
        <v>3929</v>
      </c>
      <c r="F490" s="42">
        <v>5032</v>
      </c>
      <c r="G490" s="42">
        <v>581</v>
      </c>
      <c r="H490" s="42">
        <v>688</v>
      </c>
      <c r="K490" s="42"/>
      <c r="L490" s="42"/>
      <c r="M490" s="42"/>
      <c r="N490" s="42"/>
      <c r="O490" s="42"/>
      <c r="P490" s="42"/>
      <c r="Q490" s="42"/>
      <c r="R490" s="42"/>
    </row>
    <row r="491" spans="1:18" x14ac:dyDescent="0.2">
      <c r="A491" s="34" t="s">
        <v>222</v>
      </c>
      <c r="B491" s="42">
        <v>1190102</v>
      </c>
      <c r="C491" s="42">
        <v>46693</v>
      </c>
      <c r="D491" s="42">
        <v>355</v>
      </c>
      <c r="E491" s="42">
        <v>3938</v>
      </c>
      <c r="F491" s="42">
        <v>5235</v>
      </c>
      <c r="G491" s="42">
        <v>672</v>
      </c>
      <c r="H491" s="42">
        <v>717</v>
      </c>
      <c r="K491" s="42"/>
      <c r="L491" s="42"/>
      <c r="M491" s="42"/>
      <c r="N491" s="42"/>
      <c r="O491" s="42"/>
      <c r="P491" s="42"/>
      <c r="Q491" s="42"/>
      <c r="R491" s="42"/>
    </row>
    <row r="492" spans="1:18" x14ac:dyDescent="0.2">
      <c r="A492" s="21" t="s">
        <v>179</v>
      </c>
      <c r="B492" s="42"/>
      <c r="C492" s="42"/>
      <c r="D492" s="42"/>
      <c r="E492" s="42"/>
      <c r="F492" s="42"/>
      <c r="G492" s="42"/>
      <c r="H492" s="42"/>
    </row>
    <row r="493" spans="1:18" x14ac:dyDescent="0.2">
      <c r="A493" s="34" t="s">
        <v>159</v>
      </c>
      <c r="B493" s="42">
        <v>934674</v>
      </c>
      <c r="C493" s="42">
        <v>238914</v>
      </c>
      <c r="D493" s="42">
        <v>1405</v>
      </c>
      <c r="E493" s="42">
        <v>2310</v>
      </c>
      <c r="F493" s="42">
        <v>17223</v>
      </c>
      <c r="G493" s="42">
        <v>2354</v>
      </c>
      <c r="H493" s="42">
        <v>2482</v>
      </c>
      <c r="K493" s="42"/>
      <c r="L493" s="42"/>
      <c r="M493" s="42"/>
      <c r="N493" s="42"/>
      <c r="O493" s="42"/>
      <c r="P493" s="42"/>
      <c r="Q493" s="42"/>
      <c r="R493" s="42"/>
    </row>
    <row r="494" spans="1:18" x14ac:dyDescent="0.2">
      <c r="A494" s="34" t="s">
        <v>160</v>
      </c>
      <c r="B494" s="42">
        <v>943295</v>
      </c>
      <c r="C494" s="42">
        <v>239553</v>
      </c>
      <c r="D494" s="42">
        <v>1378</v>
      </c>
      <c r="E494" s="42">
        <v>2179</v>
      </c>
      <c r="F494" s="42">
        <v>16410</v>
      </c>
      <c r="G494" s="42">
        <v>2217</v>
      </c>
      <c r="H494" s="42">
        <v>2472</v>
      </c>
      <c r="K494" s="42"/>
      <c r="L494" s="42"/>
      <c r="M494" s="42"/>
      <c r="N494" s="42"/>
      <c r="O494" s="42"/>
      <c r="P494" s="42"/>
      <c r="Q494" s="42"/>
      <c r="R494" s="42"/>
    </row>
    <row r="495" spans="1:18" x14ac:dyDescent="0.2">
      <c r="A495" s="34" t="s">
        <v>161</v>
      </c>
      <c r="B495" s="42">
        <v>953312</v>
      </c>
      <c r="C495" s="42">
        <v>237905</v>
      </c>
      <c r="D495" s="42">
        <v>1260</v>
      </c>
      <c r="E495" s="42">
        <v>2164</v>
      </c>
      <c r="F495" s="42">
        <v>14290</v>
      </c>
      <c r="G495" s="42">
        <v>2080</v>
      </c>
      <c r="H495" s="42">
        <v>2414</v>
      </c>
      <c r="K495" s="42"/>
      <c r="L495" s="42"/>
      <c r="M495" s="42"/>
      <c r="N495" s="42"/>
      <c r="O495" s="42"/>
      <c r="P495" s="42"/>
      <c r="Q495" s="42"/>
      <c r="R495" s="42"/>
    </row>
    <row r="496" spans="1:18" x14ac:dyDescent="0.2">
      <c r="A496" s="34" t="s">
        <v>162</v>
      </c>
      <c r="B496" s="42">
        <v>959165</v>
      </c>
      <c r="C496" s="42">
        <v>238990</v>
      </c>
      <c r="D496" s="42">
        <v>1279</v>
      </c>
      <c r="E496" s="42">
        <v>2016</v>
      </c>
      <c r="F496" s="42">
        <v>11102</v>
      </c>
      <c r="G496" s="42">
        <v>1671</v>
      </c>
      <c r="H496" s="42">
        <v>1974</v>
      </c>
      <c r="K496" s="42"/>
      <c r="L496" s="42"/>
      <c r="M496" s="42"/>
      <c r="N496" s="42"/>
      <c r="O496" s="42"/>
      <c r="P496" s="42"/>
      <c r="Q496" s="42"/>
      <c r="R496" s="42"/>
    </row>
    <row r="497" spans="1:18" x14ac:dyDescent="0.2">
      <c r="A497" s="34" t="s">
        <v>163</v>
      </c>
      <c r="B497" s="42">
        <v>970830</v>
      </c>
      <c r="C497" s="42">
        <v>231600</v>
      </c>
      <c r="D497" s="42">
        <v>1279</v>
      </c>
      <c r="E497" s="42">
        <v>1948</v>
      </c>
      <c r="F497" s="42">
        <v>8326</v>
      </c>
      <c r="G497" s="42">
        <v>1312</v>
      </c>
      <c r="H497" s="42">
        <v>1504</v>
      </c>
      <c r="K497" s="42"/>
      <c r="L497" s="42"/>
      <c r="M497" s="42"/>
      <c r="N497" s="42"/>
      <c r="O497" s="42"/>
      <c r="P497" s="42"/>
      <c r="Q497" s="42"/>
      <c r="R497" s="42"/>
    </row>
    <row r="498" spans="1:18" x14ac:dyDescent="0.2">
      <c r="A498" s="34" t="s">
        <v>164</v>
      </c>
      <c r="B498" s="42">
        <v>997418</v>
      </c>
      <c r="C498" s="42">
        <v>226802</v>
      </c>
      <c r="D498" s="42">
        <v>1226</v>
      </c>
      <c r="E498" s="42">
        <v>1938</v>
      </c>
      <c r="F498" s="42">
        <v>6197</v>
      </c>
      <c r="G498" s="42">
        <v>1062</v>
      </c>
      <c r="H498" s="42">
        <v>1058</v>
      </c>
      <c r="K498" s="42"/>
      <c r="L498" s="42"/>
      <c r="M498" s="42"/>
      <c r="N498" s="42"/>
      <c r="O498" s="42"/>
      <c r="P498" s="42"/>
      <c r="Q498" s="42"/>
      <c r="R498" s="42"/>
    </row>
    <row r="499" spans="1:18" x14ac:dyDescent="0.2">
      <c r="A499" s="34" t="s">
        <v>165</v>
      </c>
      <c r="B499" s="42">
        <v>996515</v>
      </c>
      <c r="C499" s="42">
        <v>226402</v>
      </c>
      <c r="D499" s="42">
        <v>1224</v>
      </c>
      <c r="E499" s="42">
        <v>1962</v>
      </c>
      <c r="F499" s="42">
        <v>5228</v>
      </c>
      <c r="G499" s="42">
        <v>900</v>
      </c>
      <c r="H499" s="42">
        <v>842</v>
      </c>
      <c r="K499" s="42"/>
      <c r="L499" s="42"/>
      <c r="M499" s="42"/>
      <c r="N499" s="42"/>
      <c r="O499" s="42"/>
      <c r="P499" s="42"/>
      <c r="Q499" s="42"/>
      <c r="R499" s="42"/>
    </row>
    <row r="500" spans="1:18" x14ac:dyDescent="0.2">
      <c r="A500" s="34" t="s">
        <v>166</v>
      </c>
      <c r="B500" s="42">
        <v>1030242</v>
      </c>
      <c r="C500" s="42">
        <v>228659</v>
      </c>
      <c r="D500" s="42">
        <v>1189</v>
      </c>
      <c r="E500" s="42">
        <v>1960</v>
      </c>
      <c r="F500" s="42">
        <v>4383</v>
      </c>
      <c r="G500" s="42">
        <v>824</v>
      </c>
      <c r="H500" s="42">
        <v>684</v>
      </c>
      <c r="K500" s="42"/>
      <c r="L500" s="42"/>
      <c r="M500" s="42"/>
      <c r="N500" s="42"/>
      <c r="O500" s="42"/>
      <c r="P500" s="42"/>
      <c r="Q500" s="42"/>
      <c r="R500" s="42"/>
    </row>
    <row r="501" spans="1:18" x14ac:dyDescent="0.2">
      <c r="A501" s="34" t="s">
        <v>168</v>
      </c>
      <c r="B501" s="42">
        <v>1035012</v>
      </c>
      <c r="C501" s="42">
        <v>239348</v>
      </c>
      <c r="D501" s="42">
        <v>1183</v>
      </c>
      <c r="E501" s="42">
        <v>1851</v>
      </c>
      <c r="F501" s="42">
        <v>3585</v>
      </c>
      <c r="G501" s="42">
        <v>825</v>
      </c>
      <c r="H501" s="42">
        <v>575</v>
      </c>
      <c r="K501" s="42"/>
      <c r="L501" s="42"/>
      <c r="M501" s="42"/>
      <c r="N501" s="42"/>
      <c r="O501" s="42"/>
      <c r="P501" s="42"/>
      <c r="Q501" s="42"/>
      <c r="R501" s="42"/>
    </row>
    <row r="502" spans="1:18" x14ac:dyDescent="0.2">
      <c r="A502" s="34" t="s">
        <v>195</v>
      </c>
      <c r="B502" s="42">
        <v>1082847</v>
      </c>
      <c r="C502" s="42">
        <v>239280</v>
      </c>
      <c r="D502" s="42">
        <v>1259</v>
      </c>
      <c r="E502" s="42">
        <v>1947</v>
      </c>
      <c r="F502" s="42">
        <v>3310</v>
      </c>
      <c r="G502" s="42">
        <v>744</v>
      </c>
      <c r="H502" s="42">
        <v>546</v>
      </c>
      <c r="K502" s="42"/>
      <c r="L502" s="42"/>
      <c r="M502" s="42"/>
      <c r="N502" s="42"/>
      <c r="O502" s="42"/>
      <c r="P502" s="42"/>
      <c r="Q502" s="42"/>
      <c r="R502" s="42"/>
    </row>
    <row r="503" spans="1:18" x14ac:dyDescent="0.2">
      <c r="A503" s="34" t="s">
        <v>196</v>
      </c>
      <c r="B503" s="42">
        <v>1119193</v>
      </c>
      <c r="C503" s="42">
        <v>231038</v>
      </c>
      <c r="D503" s="42">
        <v>1292</v>
      </c>
      <c r="E503" s="42">
        <v>1923</v>
      </c>
      <c r="F503" s="42">
        <v>3239</v>
      </c>
      <c r="G503" s="42">
        <v>776</v>
      </c>
      <c r="H503" s="42">
        <v>513</v>
      </c>
      <c r="K503" s="42"/>
      <c r="L503" s="42"/>
      <c r="M503" s="42"/>
      <c r="N503" s="42"/>
      <c r="O503" s="42"/>
      <c r="P503" s="42"/>
      <c r="Q503" s="42"/>
      <c r="R503" s="42"/>
    </row>
    <row r="504" spans="1:18" x14ac:dyDescent="0.2">
      <c r="A504" s="34" t="s">
        <v>210</v>
      </c>
      <c r="B504" s="42">
        <v>1184392</v>
      </c>
      <c r="C504" s="42">
        <v>229835</v>
      </c>
      <c r="D504" s="42">
        <v>1303</v>
      </c>
      <c r="E504" s="42">
        <v>1814</v>
      </c>
      <c r="F504" s="42">
        <v>3043</v>
      </c>
      <c r="G504" s="42">
        <v>767</v>
      </c>
      <c r="H504" s="42">
        <v>492</v>
      </c>
      <c r="K504" s="42"/>
      <c r="L504" s="42"/>
      <c r="M504" s="42"/>
      <c r="N504" s="42"/>
      <c r="O504" s="42"/>
      <c r="P504" s="42"/>
      <c r="Q504" s="42"/>
      <c r="R504" s="42"/>
    </row>
    <row r="505" spans="1:18" x14ac:dyDescent="0.2">
      <c r="A505" s="43" t="s">
        <v>222</v>
      </c>
      <c r="B505" s="44">
        <v>1263731</v>
      </c>
      <c r="C505" s="44">
        <v>232719</v>
      </c>
      <c r="D505" s="44">
        <v>1261</v>
      </c>
      <c r="E505" s="44">
        <v>1716</v>
      </c>
      <c r="F505" s="44">
        <v>2787</v>
      </c>
      <c r="G505" s="44">
        <v>649</v>
      </c>
      <c r="H505" s="44">
        <v>443</v>
      </c>
      <c r="K505" s="42"/>
      <c r="L505" s="42"/>
      <c r="M505" s="42"/>
      <c r="N505" s="42"/>
      <c r="O505" s="42"/>
      <c r="P505" s="42"/>
      <c r="Q505" s="42"/>
      <c r="R505" s="42"/>
    </row>
    <row r="506" spans="1:18" x14ac:dyDescent="0.2">
      <c r="A506" s="34" t="s">
        <v>18</v>
      </c>
    </row>
    <row r="507" spans="1:18" x14ac:dyDescent="0.2">
      <c r="A507" s="21" t="s">
        <v>300</v>
      </c>
    </row>
  </sheetData>
  <mergeCells count="18">
    <mergeCell ref="A3:A4"/>
    <mergeCell ref="D3:H3"/>
    <mergeCell ref="A64:A65"/>
    <mergeCell ref="D64:H64"/>
    <mergeCell ref="A122:A123"/>
    <mergeCell ref="D122:H122"/>
    <mergeCell ref="A179:A180"/>
    <mergeCell ref="D179:H179"/>
    <mergeCell ref="A236:A237"/>
    <mergeCell ref="D236:H236"/>
    <mergeCell ref="A462:A463"/>
    <mergeCell ref="D462:H462"/>
    <mergeCell ref="A285:A286"/>
    <mergeCell ref="D285:H285"/>
    <mergeCell ref="A344:A345"/>
    <mergeCell ref="D344:H344"/>
    <mergeCell ref="A403:A404"/>
    <mergeCell ref="D403:H403"/>
  </mergeCells>
  <pageMargins left="0.74803149606299213" right="0.74803149606299213" top="0.98425196850393704" bottom="0.98425196850393704" header="0.51181102362204722" footer="0.51181102362204722"/>
  <pageSetup paperSize="9" scale="82" fitToHeight="0" orientation="portrait" r:id="rId1"/>
  <headerFooter alignWithMargins="0">
    <oddHeader>&amp;C&amp;"Calibri"&amp;14&amp;KFF0000 OFFICIAL&amp;1#_x000D_</oddHeader>
    <oddFooter>&amp;C_x000D_&amp;1#&amp;"Calibri"&amp;14&amp;KFF0000 OFFICIAL</oddFooter>
  </headerFooter>
  <rowBreaks count="8" manualBreakCount="8">
    <brk id="61" max="7" man="1"/>
    <brk id="119" max="7" man="1"/>
    <brk id="176" max="7" man="1"/>
    <brk id="233" max="7" man="1"/>
    <brk id="282" max="7" man="1"/>
    <brk id="341" max="7" man="1"/>
    <brk id="400" max="7" man="1"/>
    <brk id="459" max="7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246"/>
  <sheetViews>
    <sheetView topLeftCell="A23" zoomScaleNormal="100" workbookViewId="0">
      <selection activeCell="B44" sqref="B44"/>
    </sheetView>
  </sheetViews>
  <sheetFormatPr defaultColWidth="8.7109375" defaultRowHeight="12.75" x14ac:dyDescent="0.2"/>
  <cols>
    <col min="1" max="3" width="12.5703125" style="58" customWidth="1"/>
    <col min="4" max="8" width="12.7109375" style="58" customWidth="1"/>
    <col min="9" max="9" width="9.85546875" style="58" customWidth="1"/>
    <col min="10" max="10" width="9" style="58" bestFit="1" customWidth="1"/>
    <col min="11" max="11" width="11.140625" style="58" customWidth="1"/>
    <col min="12" max="16384" width="8.7109375" style="58"/>
  </cols>
  <sheetData>
    <row r="2" spans="1:24" x14ac:dyDescent="0.2">
      <c r="A2" s="8" t="s">
        <v>275</v>
      </c>
      <c r="B2" s="8"/>
      <c r="C2" s="8"/>
    </row>
    <row r="3" spans="1:24" x14ac:dyDescent="0.2">
      <c r="A3" s="210" t="s">
        <v>154</v>
      </c>
      <c r="B3" s="161"/>
      <c r="C3" s="161"/>
      <c r="D3" s="212" t="s">
        <v>169</v>
      </c>
      <c r="E3" s="212"/>
      <c r="F3" s="212"/>
      <c r="G3" s="212"/>
      <c r="H3" s="212"/>
    </row>
    <row r="4" spans="1:24" ht="25.5" x14ac:dyDescent="0.2">
      <c r="A4" s="213"/>
      <c r="B4" s="183" t="s">
        <v>170</v>
      </c>
      <c r="C4" s="183" t="s">
        <v>171</v>
      </c>
      <c r="D4" s="39" t="s">
        <v>172</v>
      </c>
      <c r="E4" s="39" t="s">
        <v>173</v>
      </c>
      <c r="F4" s="39" t="s">
        <v>174</v>
      </c>
      <c r="G4" s="39" t="s">
        <v>175</v>
      </c>
      <c r="H4" s="39" t="s">
        <v>176</v>
      </c>
    </row>
    <row r="5" spans="1:24" x14ac:dyDescent="0.2">
      <c r="A5" s="171" t="s">
        <v>155</v>
      </c>
      <c r="B5" s="171"/>
      <c r="C5" s="171"/>
    </row>
    <row r="6" spans="1:24" x14ac:dyDescent="0.2">
      <c r="A6" s="26" t="s">
        <v>195</v>
      </c>
      <c r="B6" s="119">
        <v>2843309</v>
      </c>
      <c r="C6" s="119">
        <v>86725</v>
      </c>
      <c r="D6" s="42">
        <v>26095</v>
      </c>
      <c r="E6" s="42">
        <v>13217</v>
      </c>
      <c r="F6" s="42">
        <v>11227</v>
      </c>
      <c r="G6" s="42">
        <v>1640</v>
      </c>
      <c r="H6" s="42">
        <v>380</v>
      </c>
      <c r="J6" s="60"/>
    </row>
    <row r="7" spans="1:24" x14ac:dyDescent="0.2">
      <c r="A7" s="26" t="s">
        <v>196</v>
      </c>
      <c r="B7" s="119">
        <v>2854651</v>
      </c>
      <c r="C7" s="119">
        <v>88282</v>
      </c>
      <c r="D7" s="42">
        <v>25871</v>
      </c>
      <c r="E7" s="42">
        <v>13644</v>
      </c>
      <c r="F7" s="42">
        <v>11800</v>
      </c>
      <c r="G7" s="42">
        <v>1689</v>
      </c>
      <c r="H7" s="42">
        <v>412</v>
      </c>
    </row>
    <row r="8" spans="1:24" x14ac:dyDescent="0.2">
      <c r="A8" s="26" t="s">
        <v>210</v>
      </c>
      <c r="B8" s="119">
        <v>2909134</v>
      </c>
      <c r="C8" s="119">
        <v>90549</v>
      </c>
      <c r="D8" s="42">
        <v>25483</v>
      </c>
      <c r="E8" s="42">
        <v>14043</v>
      </c>
      <c r="F8" s="42">
        <v>12382</v>
      </c>
      <c r="G8" s="42">
        <v>1732</v>
      </c>
      <c r="H8" s="42">
        <v>453</v>
      </c>
    </row>
    <row r="9" spans="1:24" x14ac:dyDescent="0.2">
      <c r="A9" s="26" t="s">
        <v>222</v>
      </c>
      <c r="B9" s="42">
        <v>2987601</v>
      </c>
      <c r="C9" s="42">
        <v>93368</v>
      </c>
      <c r="D9" s="42">
        <v>25187</v>
      </c>
      <c r="E9" s="42">
        <v>14368</v>
      </c>
      <c r="F9" s="42">
        <v>12834</v>
      </c>
      <c r="G9" s="42">
        <v>1751</v>
      </c>
      <c r="H9" s="42">
        <v>485</v>
      </c>
    </row>
    <row r="10" spans="1:24" x14ac:dyDescent="0.2">
      <c r="A10" s="171" t="s">
        <v>167</v>
      </c>
      <c r="B10" s="172"/>
      <c r="C10" s="172"/>
      <c r="D10" s="42"/>
      <c r="J10" s="60"/>
      <c r="K10" s="60"/>
      <c r="L10" s="60"/>
      <c r="M10" s="60"/>
      <c r="N10" s="60"/>
      <c r="O10" s="60"/>
      <c r="P10" s="60"/>
    </row>
    <row r="11" spans="1:24" x14ac:dyDescent="0.2">
      <c r="A11" s="26" t="s">
        <v>195</v>
      </c>
      <c r="B11" s="119">
        <v>2509696</v>
      </c>
      <c r="C11" s="119">
        <v>576589</v>
      </c>
      <c r="D11" s="42">
        <v>66027</v>
      </c>
      <c r="E11" s="42">
        <v>120563</v>
      </c>
      <c r="F11" s="42">
        <v>196631</v>
      </c>
      <c r="G11" s="42">
        <v>92827</v>
      </c>
      <c r="H11" s="42">
        <v>32361</v>
      </c>
      <c r="J11" s="60"/>
    </row>
    <row r="12" spans="1:24" x14ac:dyDescent="0.2">
      <c r="A12" s="26" t="s">
        <v>196</v>
      </c>
      <c r="B12" s="119">
        <v>2513893</v>
      </c>
      <c r="C12" s="119">
        <v>578903</v>
      </c>
      <c r="D12" s="42">
        <v>64472</v>
      </c>
      <c r="E12" s="42">
        <v>120463</v>
      </c>
      <c r="F12" s="42">
        <v>198647</v>
      </c>
      <c r="G12" s="42">
        <v>91413</v>
      </c>
      <c r="H12" s="42">
        <v>33525</v>
      </c>
    </row>
    <row r="13" spans="1:24" x14ac:dyDescent="0.2">
      <c r="A13" s="26" t="s">
        <v>210</v>
      </c>
      <c r="B13" s="119">
        <v>2581043</v>
      </c>
      <c r="C13" s="119">
        <v>588212</v>
      </c>
      <c r="D13" s="42">
        <v>62891</v>
      </c>
      <c r="E13" s="42">
        <v>120134</v>
      </c>
      <c r="F13" s="42">
        <v>201817</v>
      </c>
      <c r="G13" s="42">
        <v>89765</v>
      </c>
      <c r="H13" s="42">
        <v>34979</v>
      </c>
    </row>
    <row r="14" spans="1:24" x14ac:dyDescent="0.2">
      <c r="A14" s="26" t="s">
        <v>222</v>
      </c>
      <c r="B14" s="42">
        <v>2672395</v>
      </c>
      <c r="C14" s="42">
        <v>597209</v>
      </c>
      <c r="D14" s="42">
        <v>61471</v>
      </c>
      <c r="E14" s="42">
        <v>118997</v>
      </c>
      <c r="F14" s="42">
        <v>203141</v>
      </c>
      <c r="G14" s="42">
        <v>87454</v>
      </c>
      <c r="H14" s="42">
        <v>36325</v>
      </c>
    </row>
    <row r="15" spans="1:24" ht="13.5" customHeight="1" x14ac:dyDescent="0.2">
      <c r="A15" s="19" t="s">
        <v>7</v>
      </c>
      <c r="B15" s="173"/>
      <c r="C15" s="173"/>
      <c r="J15" s="60"/>
      <c r="K15" s="60"/>
      <c r="L15" s="60"/>
      <c r="M15" s="60"/>
      <c r="N15" s="60"/>
      <c r="O15" s="60"/>
      <c r="P15" s="60"/>
    </row>
    <row r="16" spans="1:24" x14ac:dyDescent="0.2">
      <c r="A16" s="26" t="s">
        <v>195</v>
      </c>
      <c r="B16" s="119">
        <v>5353146</v>
      </c>
      <c r="C16" s="119">
        <v>663382</v>
      </c>
      <c r="D16" s="42">
        <v>92122</v>
      </c>
      <c r="E16" s="42">
        <v>133789</v>
      </c>
      <c r="F16" s="42">
        <v>207885</v>
      </c>
      <c r="G16" s="42">
        <v>94476</v>
      </c>
      <c r="H16" s="42">
        <v>32747</v>
      </c>
      <c r="I16" s="60"/>
      <c r="J16" s="60"/>
      <c r="K16" s="60"/>
      <c r="L16" s="60"/>
      <c r="M16" s="60"/>
      <c r="N16" s="60"/>
      <c r="O16" s="60"/>
      <c r="P16" s="60"/>
      <c r="R16" s="60"/>
      <c r="S16" s="60"/>
      <c r="T16" s="60"/>
      <c r="U16" s="60"/>
      <c r="V16" s="60"/>
      <c r="W16" s="60"/>
      <c r="X16" s="60"/>
    </row>
    <row r="17" spans="1:24" x14ac:dyDescent="0.2">
      <c r="A17" s="26" t="s">
        <v>196</v>
      </c>
      <c r="B17" s="119">
        <v>5368688</v>
      </c>
      <c r="C17" s="119">
        <v>667254</v>
      </c>
      <c r="D17" s="42">
        <v>90349</v>
      </c>
      <c r="E17" s="42">
        <v>134116</v>
      </c>
      <c r="F17" s="42">
        <v>210471</v>
      </c>
      <c r="G17" s="42">
        <v>93111</v>
      </c>
      <c r="H17" s="42">
        <v>33937</v>
      </c>
      <c r="I17" s="60"/>
      <c r="J17" s="60"/>
      <c r="K17" s="60"/>
      <c r="L17" s="60"/>
      <c r="M17" s="60"/>
      <c r="N17" s="60"/>
      <c r="O17" s="60"/>
      <c r="P17" s="60"/>
      <c r="R17" s="60"/>
      <c r="S17" s="60"/>
      <c r="T17" s="60"/>
      <c r="U17" s="60"/>
      <c r="V17" s="60"/>
      <c r="W17" s="60"/>
      <c r="X17" s="60"/>
    </row>
    <row r="18" spans="1:24" x14ac:dyDescent="0.2">
      <c r="A18" s="26" t="s">
        <v>210</v>
      </c>
      <c r="B18" s="119">
        <v>5490323</v>
      </c>
      <c r="C18" s="119">
        <v>678827</v>
      </c>
      <c r="D18" s="42">
        <v>88380</v>
      </c>
      <c r="E18" s="42">
        <v>134186</v>
      </c>
      <c r="F18" s="42">
        <v>214225</v>
      </c>
      <c r="G18" s="42">
        <v>91507</v>
      </c>
      <c r="H18" s="42">
        <v>35435</v>
      </c>
      <c r="I18" s="60"/>
      <c r="J18" s="60"/>
      <c r="K18" s="60"/>
      <c r="L18" s="60"/>
      <c r="M18" s="60"/>
      <c r="N18" s="60"/>
      <c r="O18" s="60"/>
      <c r="P18" s="60"/>
      <c r="R18" s="60"/>
      <c r="S18" s="60"/>
      <c r="T18" s="60"/>
      <c r="U18" s="60"/>
      <c r="V18" s="60"/>
      <c r="W18" s="60"/>
      <c r="X18" s="60"/>
    </row>
    <row r="19" spans="1:24" ht="15" x14ac:dyDescent="0.25">
      <c r="A19" s="30" t="s">
        <v>222</v>
      </c>
      <c r="B19" s="174">
        <v>5660147</v>
      </c>
      <c r="C19" s="174">
        <v>690649</v>
      </c>
      <c r="D19" s="174">
        <v>86666</v>
      </c>
      <c r="E19" s="174">
        <v>133375</v>
      </c>
      <c r="F19" s="174">
        <v>216007</v>
      </c>
      <c r="G19" s="174">
        <v>89215</v>
      </c>
      <c r="H19" s="174">
        <v>36812</v>
      </c>
      <c r="J19"/>
      <c r="K19"/>
      <c r="L19"/>
      <c r="M19"/>
      <c r="N19"/>
      <c r="O19" s="60"/>
      <c r="P19" s="60"/>
      <c r="R19" s="60"/>
      <c r="S19" s="60"/>
      <c r="T19" s="60"/>
      <c r="U19" s="60"/>
      <c r="V19" s="60"/>
      <c r="W19" s="60"/>
      <c r="X19" s="60"/>
    </row>
    <row r="20" spans="1:24" s="34" customFormat="1" x14ac:dyDescent="0.2">
      <c r="A20" s="34" t="s">
        <v>307</v>
      </c>
      <c r="I20" s="58"/>
    </row>
    <row r="21" spans="1:24" x14ac:dyDescent="0.2">
      <c r="A21" s="21" t="s">
        <v>351</v>
      </c>
      <c r="B21" s="21"/>
      <c r="C21" s="21"/>
    </row>
    <row r="22" spans="1:24" x14ac:dyDescent="0.2">
      <c r="A22" s="34"/>
      <c r="B22" s="34"/>
      <c r="C22" s="34"/>
    </row>
    <row r="23" spans="1:24" x14ac:dyDescent="0.2">
      <c r="A23" s="34"/>
      <c r="B23" s="34"/>
      <c r="C23" s="34"/>
    </row>
    <row r="24" spans="1:24" x14ac:dyDescent="0.2">
      <c r="A24" s="8" t="s">
        <v>276</v>
      </c>
      <c r="B24" s="8"/>
      <c r="C24" s="8"/>
    </row>
    <row r="25" spans="1:24" x14ac:dyDescent="0.2">
      <c r="A25" s="210" t="s">
        <v>154</v>
      </c>
      <c r="B25" s="161"/>
      <c r="C25" s="161"/>
      <c r="D25" s="212" t="s">
        <v>169</v>
      </c>
      <c r="E25" s="212"/>
      <c r="F25" s="212"/>
      <c r="G25" s="212"/>
      <c r="H25" s="212"/>
    </row>
    <row r="26" spans="1:24" ht="51" x14ac:dyDescent="0.2">
      <c r="A26" s="211"/>
      <c r="B26" s="183" t="s">
        <v>308</v>
      </c>
      <c r="C26" s="183" t="s">
        <v>171</v>
      </c>
      <c r="D26" s="40" t="s">
        <v>172</v>
      </c>
      <c r="E26" s="40" t="s">
        <v>173</v>
      </c>
      <c r="F26" s="40" t="s">
        <v>174</v>
      </c>
      <c r="G26" s="40" t="s">
        <v>175</v>
      </c>
      <c r="H26" s="40" t="s">
        <v>176</v>
      </c>
    </row>
    <row r="27" spans="1:24" x14ac:dyDescent="0.2">
      <c r="A27" s="20" t="s">
        <v>197</v>
      </c>
      <c r="B27" s="20"/>
      <c r="C27" s="20"/>
      <c r="D27" s="41"/>
      <c r="E27" s="41"/>
      <c r="F27" s="41"/>
      <c r="G27" s="41"/>
      <c r="H27" s="41"/>
    </row>
    <row r="28" spans="1:24" x14ac:dyDescent="0.2">
      <c r="A28" s="34" t="s">
        <v>166</v>
      </c>
      <c r="B28" s="98">
        <v>2233810</v>
      </c>
      <c r="C28" s="98">
        <v>55544</v>
      </c>
      <c r="D28" s="98">
        <v>11040</v>
      </c>
      <c r="E28" s="98">
        <v>12034</v>
      </c>
      <c r="F28" s="98">
        <v>13485</v>
      </c>
      <c r="G28" s="98">
        <v>2825</v>
      </c>
      <c r="H28" s="98">
        <v>373</v>
      </c>
    </row>
    <row r="29" spans="1:24" x14ac:dyDescent="0.2">
      <c r="A29" s="34" t="s">
        <v>168</v>
      </c>
      <c r="B29" s="98">
        <v>2266307</v>
      </c>
      <c r="C29" s="98">
        <v>57143</v>
      </c>
      <c r="D29" s="98">
        <v>10975</v>
      </c>
      <c r="E29" s="98">
        <v>12275</v>
      </c>
      <c r="F29" s="98">
        <v>13767</v>
      </c>
      <c r="G29" s="98">
        <v>2824</v>
      </c>
      <c r="H29" s="98">
        <v>393</v>
      </c>
    </row>
    <row r="30" spans="1:24" x14ac:dyDescent="0.2">
      <c r="A30" s="34" t="s">
        <v>195</v>
      </c>
      <c r="B30" s="98">
        <v>2273750</v>
      </c>
      <c r="C30" s="98">
        <v>58885</v>
      </c>
      <c r="D30" s="98">
        <v>11116</v>
      </c>
      <c r="E30" s="98">
        <v>12522</v>
      </c>
      <c r="F30" s="98">
        <v>14154</v>
      </c>
      <c r="G30" s="98">
        <v>2878</v>
      </c>
      <c r="H30" s="98">
        <v>412</v>
      </c>
    </row>
    <row r="31" spans="1:24" x14ac:dyDescent="0.2">
      <c r="A31" s="34" t="s">
        <v>196</v>
      </c>
      <c r="B31" s="98">
        <v>2283177</v>
      </c>
      <c r="C31" s="98">
        <v>58812</v>
      </c>
      <c r="D31" s="98">
        <v>11313</v>
      </c>
      <c r="E31" s="98">
        <v>12939</v>
      </c>
      <c r="F31" s="98">
        <v>14705</v>
      </c>
      <c r="G31" s="98">
        <v>2939</v>
      </c>
      <c r="H31" s="98">
        <v>451</v>
      </c>
    </row>
    <row r="32" spans="1:24" x14ac:dyDescent="0.2">
      <c r="A32" s="34" t="s">
        <v>210</v>
      </c>
      <c r="B32" s="98">
        <v>2350413</v>
      </c>
      <c r="C32" s="98">
        <v>59507</v>
      </c>
      <c r="D32" s="98">
        <v>11558</v>
      </c>
      <c r="E32" s="98">
        <v>13266</v>
      </c>
      <c r="F32" s="98">
        <v>15399</v>
      </c>
      <c r="G32" s="98">
        <v>3006</v>
      </c>
      <c r="H32" s="98">
        <v>479</v>
      </c>
    </row>
    <row r="33" spans="1:15" x14ac:dyDescent="0.2">
      <c r="A33" s="26" t="s">
        <v>222</v>
      </c>
      <c r="B33" s="98">
        <v>2416311</v>
      </c>
      <c r="C33" s="98">
        <v>61148</v>
      </c>
      <c r="D33" s="98">
        <v>11544</v>
      </c>
      <c r="E33" s="98">
        <v>13260</v>
      </c>
      <c r="F33" s="98">
        <v>15392</v>
      </c>
      <c r="G33" s="98">
        <v>3005</v>
      </c>
      <c r="H33" s="98">
        <v>478</v>
      </c>
      <c r="J33" s="60"/>
    </row>
    <row r="34" spans="1:15" x14ac:dyDescent="0.2">
      <c r="A34" s="21" t="s">
        <v>167</v>
      </c>
      <c r="B34" s="98"/>
      <c r="C34" s="98"/>
      <c r="D34" s="98"/>
      <c r="E34" s="98"/>
      <c r="F34" s="98"/>
      <c r="G34" s="98"/>
      <c r="H34" s="98"/>
    </row>
    <row r="35" spans="1:15" x14ac:dyDescent="0.2">
      <c r="A35" s="34" t="s">
        <v>166</v>
      </c>
      <c r="B35" s="98">
        <v>1841047</v>
      </c>
      <c r="C35" s="98">
        <v>384267</v>
      </c>
      <c r="D35" s="98">
        <v>32185</v>
      </c>
      <c r="E35" s="98">
        <v>89326</v>
      </c>
      <c r="F35" s="98">
        <v>187584</v>
      </c>
      <c r="G35" s="98">
        <v>125212</v>
      </c>
      <c r="H35" s="98">
        <v>33820</v>
      </c>
    </row>
    <row r="36" spans="1:15" x14ac:dyDescent="0.2">
      <c r="A36" s="34" t="s">
        <v>168</v>
      </c>
      <c r="B36" s="98">
        <v>1886783</v>
      </c>
      <c r="C36" s="98">
        <v>392666</v>
      </c>
      <c r="D36" s="98">
        <v>32405</v>
      </c>
      <c r="E36" s="98">
        <v>89327</v>
      </c>
      <c r="F36" s="98">
        <v>190407</v>
      </c>
      <c r="G36" s="98">
        <v>124825</v>
      </c>
      <c r="H36" s="98">
        <v>35367</v>
      </c>
    </row>
    <row r="37" spans="1:15" x14ac:dyDescent="0.2">
      <c r="A37" s="34" t="s">
        <v>195</v>
      </c>
      <c r="B37" s="98">
        <v>1896927</v>
      </c>
      <c r="C37" s="98">
        <v>400544</v>
      </c>
      <c r="D37" s="98">
        <v>32938</v>
      </c>
      <c r="E37" s="98">
        <v>89445</v>
      </c>
      <c r="F37" s="98">
        <v>192488</v>
      </c>
      <c r="G37" s="98">
        <v>123819</v>
      </c>
      <c r="H37" s="98">
        <v>36687</v>
      </c>
    </row>
    <row r="38" spans="1:15" x14ac:dyDescent="0.2">
      <c r="A38" s="34" t="s">
        <v>196</v>
      </c>
      <c r="B38" s="98">
        <v>1921690</v>
      </c>
      <c r="C38" s="98">
        <v>402378</v>
      </c>
      <c r="D38" s="98">
        <v>33871</v>
      </c>
      <c r="E38" s="98">
        <v>89962</v>
      </c>
      <c r="F38" s="98">
        <v>197535</v>
      </c>
      <c r="G38" s="98">
        <v>123538</v>
      </c>
      <c r="H38" s="98">
        <v>38792</v>
      </c>
    </row>
    <row r="39" spans="1:15" x14ac:dyDescent="0.2">
      <c r="A39" s="34" t="s">
        <v>210</v>
      </c>
      <c r="B39" s="98">
        <v>1993172</v>
      </c>
      <c r="C39" s="98">
        <v>407263</v>
      </c>
      <c r="D39" s="98">
        <v>34627</v>
      </c>
      <c r="E39" s="98">
        <v>90402</v>
      </c>
      <c r="F39" s="98">
        <v>203247</v>
      </c>
      <c r="G39" s="98">
        <v>122992</v>
      </c>
      <c r="H39" s="98">
        <v>40849</v>
      </c>
    </row>
    <row r="40" spans="1:15" x14ac:dyDescent="0.2">
      <c r="A40" s="26" t="s">
        <v>222</v>
      </c>
      <c r="B40" s="98">
        <v>2058982</v>
      </c>
      <c r="C40" s="98">
        <v>414139</v>
      </c>
      <c r="D40" s="98">
        <v>34511</v>
      </c>
      <c r="E40" s="98">
        <v>90303</v>
      </c>
      <c r="F40" s="98">
        <v>202996</v>
      </c>
      <c r="G40" s="98">
        <v>122726</v>
      </c>
      <c r="H40" s="98">
        <v>40808</v>
      </c>
    </row>
    <row r="41" spans="1:15" x14ac:dyDescent="0.2">
      <c r="A41" s="19" t="s">
        <v>7</v>
      </c>
      <c r="B41" s="175"/>
      <c r="C41" s="175"/>
      <c r="D41" s="42"/>
      <c r="E41" s="42"/>
      <c r="F41" s="42"/>
      <c r="G41" s="42"/>
      <c r="H41" s="42"/>
    </row>
    <row r="42" spans="1:15" x14ac:dyDescent="0.2">
      <c r="A42" s="34" t="s">
        <v>166</v>
      </c>
      <c r="B42" s="98">
        <v>4075117</v>
      </c>
      <c r="C42" s="98">
        <v>439837</v>
      </c>
      <c r="D42" s="98">
        <v>43226</v>
      </c>
      <c r="E42" s="98">
        <v>101362</v>
      </c>
      <c r="F42" s="98">
        <v>201076</v>
      </c>
      <c r="G42" s="98">
        <v>128040</v>
      </c>
      <c r="H42" s="98">
        <v>34193</v>
      </c>
      <c r="I42" s="60"/>
      <c r="J42" s="60"/>
      <c r="K42" s="60"/>
      <c r="L42" s="60"/>
      <c r="M42" s="60"/>
      <c r="N42" s="60"/>
      <c r="O42" s="60"/>
    </row>
    <row r="43" spans="1:15" x14ac:dyDescent="0.2">
      <c r="A43" s="34" t="s">
        <v>168</v>
      </c>
      <c r="B43" s="98">
        <v>4153382</v>
      </c>
      <c r="C43" s="98">
        <v>449839</v>
      </c>
      <c r="D43" s="98">
        <v>43381</v>
      </c>
      <c r="E43" s="98">
        <v>101604</v>
      </c>
      <c r="F43" s="98">
        <v>204180</v>
      </c>
      <c r="G43" s="98">
        <v>127652</v>
      </c>
      <c r="H43" s="98">
        <v>35760</v>
      </c>
      <c r="I43" s="60"/>
      <c r="J43" s="60"/>
      <c r="K43" s="60"/>
      <c r="L43" s="60"/>
      <c r="M43" s="60"/>
      <c r="N43" s="60"/>
      <c r="O43" s="60"/>
    </row>
    <row r="44" spans="1:15" x14ac:dyDescent="0.2">
      <c r="A44" s="34" t="s">
        <v>195</v>
      </c>
      <c r="B44" s="98">
        <v>4171023</v>
      </c>
      <c r="C44" s="98">
        <v>459466</v>
      </c>
      <c r="D44" s="98">
        <v>44055</v>
      </c>
      <c r="E44" s="98">
        <v>101970</v>
      </c>
      <c r="F44" s="98">
        <v>206648</v>
      </c>
      <c r="G44" s="98">
        <v>126701</v>
      </c>
      <c r="H44" s="98">
        <v>37099</v>
      </c>
      <c r="I44" s="60"/>
      <c r="J44" s="60"/>
      <c r="K44" s="60"/>
      <c r="L44" s="60"/>
      <c r="M44" s="60"/>
      <c r="N44" s="60"/>
      <c r="O44" s="60"/>
    </row>
    <row r="45" spans="1:15" x14ac:dyDescent="0.2">
      <c r="A45" s="34" t="s">
        <v>196</v>
      </c>
      <c r="B45" s="98">
        <v>4205249</v>
      </c>
      <c r="C45" s="98">
        <v>461233</v>
      </c>
      <c r="D45" s="98">
        <v>45187</v>
      </c>
      <c r="E45" s="98">
        <v>102904</v>
      </c>
      <c r="F45" s="98">
        <v>212246</v>
      </c>
      <c r="G45" s="98">
        <v>126481</v>
      </c>
      <c r="H45" s="98">
        <v>39244</v>
      </c>
      <c r="I45" s="60"/>
      <c r="J45" s="60"/>
      <c r="K45" s="60"/>
      <c r="L45" s="60"/>
      <c r="M45" s="60"/>
      <c r="N45" s="60"/>
      <c r="O45" s="60"/>
    </row>
    <row r="46" spans="1:15" x14ac:dyDescent="0.2">
      <c r="A46" s="34" t="s">
        <v>210</v>
      </c>
      <c r="B46" s="98">
        <v>4344167</v>
      </c>
      <c r="C46" s="98">
        <v>466827</v>
      </c>
      <c r="D46" s="98">
        <v>46188</v>
      </c>
      <c r="E46" s="98">
        <v>103670</v>
      </c>
      <c r="F46" s="98">
        <v>218654</v>
      </c>
      <c r="G46" s="98">
        <v>126002</v>
      </c>
      <c r="H46" s="98">
        <v>41330</v>
      </c>
      <c r="I46" s="60"/>
      <c r="J46" s="60"/>
      <c r="K46" s="60"/>
      <c r="L46" s="60"/>
      <c r="M46" s="60"/>
      <c r="N46" s="60"/>
      <c r="O46" s="60"/>
    </row>
    <row r="47" spans="1:15" x14ac:dyDescent="0.2">
      <c r="A47" s="30" t="s">
        <v>222</v>
      </c>
      <c r="B47" s="176">
        <v>4476068</v>
      </c>
      <c r="C47" s="176">
        <v>475353</v>
      </c>
      <c r="D47" s="176">
        <v>46058</v>
      </c>
      <c r="E47" s="176">
        <v>103565</v>
      </c>
      <c r="F47" s="176">
        <v>218397</v>
      </c>
      <c r="G47" s="176">
        <v>125735</v>
      </c>
      <c r="H47" s="176">
        <v>41288</v>
      </c>
      <c r="I47" s="60"/>
      <c r="J47" s="60"/>
      <c r="K47" s="60"/>
      <c r="L47" s="60"/>
      <c r="M47" s="60"/>
      <c r="N47" s="60"/>
      <c r="O47" s="60"/>
    </row>
    <row r="48" spans="1:15" x14ac:dyDescent="0.2">
      <c r="A48" s="34" t="s">
        <v>307</v>
      </c>
      <c r="B48" s="98"/>
      <c r="C48" s="98"/>
      <c r="D48" s="98"/>
      <c r="E48" s="98"/>
      <c r="F48" s="98"/>
      <c r="G48" s="98"/>
      <c r="H48" s="98"/>
      <c r="I48" s="60"/>
      <c r="J48" s="60"/>
      <c r="K48" s="60"/>
      <c r="L48" s="60"/>
      <c r="M48" s="60"/>
      <c r="N48" s="60"/>
      <c r="O48" s="60"/>
    </row>
    <row r="49" spans="1:8" x14ac:dyDescent="0.2">
      <c r="A49" s="48" t="s">
        <v>245</v>
      </c>
      <c r="B49" s="48"/>
      <c r="C49" s="48"/>
    </row>
    <row r="50" spans="1:8" x14ac:dyDescent="0.2">
      <c r="A50" s="34"/>
      <c r="B50" s="34"/>
      <c r="C50" s="34"/>
    </row>
    <row r="52" spans="1:8" x14ac:dyDescent="0.2">
      <c r="A52" s="8" t="s">
        <v>277</v>
      </c>
      <c r="B52" s="8"/>
      <c r="C52" s="8"/>
    </row>
    <row r="53" spans="1:8" x14ac:dyDescent="0.2">
      <c r="A53" s="210" t="s">
        <v>154</v>
      </c>
      <c r="B53" s="161"/>
      <c r="C53" s="161"/>
      <c r="D53" s="212" t="s">
        <v>169</v>
      </c>
      <c r="E53" s="212"/>
      <c r="F53" s="212"/>
      <c r="G53" s="212"/>
      <c r="H53" s="212"/>
    </row>
    <row r="54" spans="1:8" ht="38.25" x14ac:dyDescent="0.2">
      <c r="A54" s="211"/>
      <c r="B54" s="183" t="s">
        <v>309</v>
      </c>
      <c r="C54" s="183" t="s">
        <v>171</v>
      </c>
      <c r="D54" s="40" t="s">
        <v>172</v>
      </c>
      <c r="E54" s="40" t="s">
        <v>173</v>
      </c>
      <c r="F54" s="40" t="s">
        <v>174</v>
      </c>
      <c r="G54" s="40" t="s">
        <v>175</v>
      </c>
      <c r="H54" s="40" t="s">
        <v>176</v>
      </c>
    </row>
    <row r="55" spans="1:8" x14ac:dyDescent="0.2">
      <c r="A55" s="20" t="s">
        <v>197</v>
      </c>
      <c r="B55" s="20"/>
      <c r="C55" s="20"/>
      <c r="D55" s="41"/>
      <c r="E55" s="41"/>
      <c r="F55" s="41"/>
      <c r="G55" s="41"/>
      <c r="H55" s="41"/>
    </row>
    <row r="56" spans="1:8" x14ac:dyDescent="0.2">
      <c r="A56" s="34" t="s">
        <v>166</v>
      </c>
      <c r="B56" s="98">
        <v>1820352</v>
      </c>
      <c r="C56" s="98">
        <v>120080</v>
      </c>
      <c r="D56" s="98">
        <v>15645</v>
      </c>
      <c r="E56" s="98">
        <v>12703</v>
      </c>
      <c r="F56" s="98">
        <v>22897</v>
      </c>
      <c r="G56" s="98">
        <v>2130</v>
      </c>
      <c r="H56" s="98">
        <v>1273</v>
      </c>
    </row>
    <row r="57" spans="1:8" x14ac:dyDescent="0.2">
      <c r="A57" s="34" t="s">
        <v>168</v>
      </c>
      <c r="B57" s="98">
        <v>1866621</v>
      </c>
      <c r="C57" s="98">
        <v>122360</v>
      </c>
      <c r="D57" s="98">
        <v>15878</v>
      </c>
      <c r="E57" s="98">
        <v>13016</v>
      </c>
      <c r="F57" s="98">
        <v>23289</v>
      </c>
      <c r="G57" s="98">
        <v>2156</v>
      </c>
      <c r="H57" s="98">
        <v>1358</v>
      </c>
    </row>
    <row r="58" spans="1:8" x14ac:dyDescent="0.2">
      <c r="A58" s="34" t="s">
        <v>195</v>
      </c>
      <c r="B58" s="98">
        <v>1911646</v>
      </c>
      <c r="C58" s="98">
        <v>123878</v>
      </c>
      <c r="D58" s="98">
        <v>16156</v>
      </c>
      <c r="E58" s="98">
        <v>13301</v>
      </c>
      <c r="F58" s="98">
        <v>23656</v>
      </c>
      <c r="G58" s="98">
        <v>2169</v>
      </c>
      <c r="H58" s="98">
        <v>1460</v>
      </c>
    </row>
    <row r="59" spans="1:8" x14ac:dyDescent="0.2">
      <c r="A59" s="34" t="s">
        <v>196</v>
      </c>
      <c r="B59" s="98">
        <v>1950615</v>
      </c>
      <c r="C59" s="98">
        <v>124887</v>
      </c>
      <c r="D59" s="98">
        <v>16813</v>
      </c>
      <c r="E59" s="98">
        <v>13631</v>
      </c>
      <c r="F59" s="98">
        <v>24131</v>
      </c>
      <c r="G59" s="98">
        <v>2164</v>
      </c>
      <c r="H59" s="98">
        <v>1558</v>
      </c>
    </row>
    <row r="60" spans="1:8" x14ac:dyDescent="0.2">
      <c r="A60" s="34" t="s">
        <v>210</v>
      </c>
      <c r="B60" s="98">
        <v>1999060</v>
      </c>
      <c r="C60" s="98">
        <v>126368</v>
      </c>
      <c r="D60" s="98">
        <v>17324</v>
      </c>
      <c r="E60" s="98">
        <v>14033</v>
      </c>
      <c r="F60" s="98">
        <v>24771</v>
      </c>
      <c r="G60" s="98">
        <v>2177</v>
      </c>
      <c r="H60" s="98">
        <v>1682</v>
      </c>
    </row>
    <row r="61" spans="1:8" x14ac:dyDescent="0.2">
      <c r="A61" s="26" t="s">
        <v>222</v>
      </c>
      <c r="B61" s="98">
        <v>2048570</v>
      </c>
      <c r="C61" s="98">
        <v>128019</v>
      </c>
      <c r="D61" s="98">
        <v>17842</v>
      </c>
      <c r="E61" s="98">
        <v>14375</v>
      </c>
      <c r="F61" s="98">
        <v>25575</v>
      </c>
      <c r="G61" s="98">
        <v>2224</v>
      </c>
      <c r="H61" s="98">
        <v>1802</v>
      </c>
    </row>
    <row r="62" spans="1:8" x14ac:dyDescent="0.2">
      <c r="A62" s="21" t="s">
        <v>167</v>
      </c>
      <c r="B62" s="98"/>
      <c r="C62" s="98"/>
      <c r="D62" s="42"/>
      <c r="E62" s="42"/>
      <c r="F62" s="42"/>
      <c r="G62" s="42"/>
      <c r="H62" s="42"/>
    </row>
    <row r="63" spans="1:8" x14ac:dyDescent="0.2">
      <c r="A63" s="34" t="s">
        <v>166</v>
      </c>
      <c r="B63" s="98">
        <v>1441879</v>
      </c>
      <c r="C63" s="98">
        <v>578570</v>
      </c>
      <c r="D63" s="98">
        <v>43152</v>
      </c>
      <c r="E63" s="98">
        <v>85302</v>
      </c>
      <c r="F63" s="98">
        <v>228451</v>
      </c>
      <c r="G63" s="98">
        <v>72276</v>
      </c>
      <c r="H63" s="98">
        <v>60962</v>
      </c>
    </row>
    <row r="64" spans="1:8" x14ac:dyDescent="0.2">
      <c r="A64" s="34" t="s">
        <v>168</v>
      </c>
      <c r="B64" s="98">
        <v>1471541</v>
      </c>
      <c r="C64" s="98">
        <v>582701</v>
      </c>
      <c r="D64" s="98">
        <v>44242</v>
      </c>
      <c r="E64" s="98">
        <v>85828</v>
      </c>
      <c r="F64" s="98">
        <v>231155</v>
      </c>
      <c r="G64" s="98">
        <v>70989</v>
      </c>
      <c r="H64" s="98">
        <v>63673</v>
      </c>
    </row>
    <row r="65" spans="1:15" x14ac:dyDescent="0.2">
      <c r="A65" s="34" t="s">
        <v>195</v>
      </c>
      <c r="B65" s="98">
        <v>1505236</v>
      </c>
      <c r="C65" s="98">
        <v>586241</v>
      </c>
      <c r="D65" s="98">
        <v>45682</v>
      </c>
      <c r="E65" s="98">
        <v>86650</v>
      </c>
      <c r="F65" s="98">
        <v>232558</v>
      </c>
      <c r="G65" s="98">
        <v>69250</v>
      </c>
      <c r="H65" s="98">
        <v>66078</v>
      </c>
    </row>
    <row r="66" spans="1:15" x14ac:dyDescent="0.2">
      <c r="A66" s="34" t="s">
        <v>196</v>
      </c>
      <c r="B66" s="98">
        <v>1540771</v>
      </c>
      <c r="C66" s="98">
        <v>588128</v>
      </c>
      <c r="D66" s="98">
        <v>47775</v>
      </c>
      <c r="E66" s="98">
        <v>86729</v>
      </c>
      <c r="F66" s="98">
        <v>233708</v>
      </c>
      <c r="G66" s="98">
        <v>67013</v>
      </c>
      <c r="H66" s="98">
        <v>67552</v>
      </c>
    </row>
    <row r="67" spans="1:15" x14ac:dyDescent="0.2">
      <c r="A67" s="34" t="s">
        <v>210</v>
      </c>
      <c r="B67" s="98">
        <v>1588252</v>
      </c>
      <c r="C67" s="98">
        <v>592485</v>
      </c>
      <c r="D67" s="98">
        <v>49601</v>
      </c>
      <c r="E67" s="98">
        <v>87556</v>
      </c>
      <c r="F67" s="98">
        <v>236965</v>
      </c>
      <c r="G67" s="98">
        <v>65192</v>
      </c>
      <c r="H67" s="98">
        <v>69295</v>
      </c>
    </row>
    <row r="68" spans="1:15" x14ac:dyDescent="0.2">
      <c r="A68" s="26" t="s">
        <v>222</v>
      </c>
      <c r="B68" s="98">
        <v>1634807</v>
      </c>
      <c r="C68" s="98">
        <v>596432</v>
      </c>
      <c r="D68" s="98">
        <v>51117</v>
      </c>
      <c r="E68" s="98">
        <v>87883</v>
      </c>
      <c r="F68" s="98">
        <v>239338</v>
      </c>
      <c r="G68" s="98">
        <v>63435</v>
      </c>
      <c r="H68" s="98">
        <v>71130</v>
      </c>
    </row>
    <row r="69" spans="1:15" x14ac:dyDescent="0.2">
      <c r="A69" s="19" t="s">
        <v>7</v>
      </c>
      <c r="B69" s="173"/>
      <c r="C69" s="173"/>
      <c r="D69" s="42"/>
      <c r="E69" s="42"/>
      <c r="F69" s="42"/>
      <c r="G69" s="42"/>
      <c r="H69" s="42"/>
    </row>
    <row r="70" spans="1:15" x14ac:dyDescent="0.2">
      <c r="A70" s="34" t="s">
        <v>166</v>
      </c>
      <c r="B70" s="98">
        <v>3262231</v>
      </c>
      <c r="C70" s="98">
        <v>698650</v>
      </c>
      <c r="D70" s="98">
        <v>58797</v>
      </c>
      <c r="E70" s="98">
        <v>98005</v>
      </c>
      <c r="F70" s="98">
        <v>251348</v>
      </c>
      <c r="G70" s="98">
        <v>74406</v>
      </c>
      <c r="H70" s="98">
        <v>62235</v>
      </c>
      <c r="I70" s="60"/>
      <c r="J70" s="60"/>
      <c r="K70" s="60"/>
      <c r="L70" s="60"/>
      <c r="M70" s="60"/>
      <c r="N70" s="60"/>
      <c r="O70" s="60"/>
    </row>
    <row r="71" spans="1:15" x14ac:dyDescent="0.2">
      <c r="A71" s="34" t="s">
        <v>168</v>
      </c>
      <c r="B71" s="98">
        <v>3338163</v>
      </c>
      <c r="C71" s="98">
        <v>705061</v>
      </c>
      <c r="D71" s="98">
        <v>60120</v>
      </c>
      <c r="E71" s="98">
        <v>98844</v>
      </c>
      <c r="F71" s="98">
        <v>254444</v>
      </c>
      <c r="G71" s="98">
        <v>73145</v>
      </c>
      <c r="H71" s="98">
        <v>65031</v>
      </c>
      <c r="I71" s="60"/>
      <c r="J71" s="60"/>
      <c r="K71" s="60"/>
      <c r="L71" s="60"/>
      <c r="M71" s="60"/>
      <c r="N71" s="60"/>
      <c r="O71" s="60"/>
    </row>
    <row r="72" spans="1:15" x14ac:dyDescent="0.2">
      <c r="A72" s="34" t="s">
        <v>195</v>
      </c>
      <c r="B72" s="98">
        <v>3416883</v>
      </c>
      <c r="C72" s="98">
        <v>710119</v>
      </c>
      <c r="D72" s="98">
        <v>61838</v>
      </c>
      <c r="E72" s="98">
        <v>99951</v>
      </c>
      <c r="F72" s="98">
        <v>256214</v>
      </c>
      <c r="G72" s="98">
        <v>71419</v>
      </c>
      <c r="H72" s="98">
        <v>67538</v>
      </c>
      <c r="I72" s="60"/>
      <c r="J72" s="60"/>
      <c r="K72" s="60"/>
      <c r="L72" s="60"/>
      <c r="M72" s="60"/>
      <c r="N72" s="60"/>
      <c r="O72" s="60"/>
    </row>
    <row r="73" spans="1:15" x14ac:dyDescent="0.2">
      <c r="A73" s="34" t="s">
        <v>196</v>
      </c>
      <c r="B73" s="98">
        <v>3491387</v>
      </c>
      <c r="C73" s="98">
        <v>713015</v>
      </c>
      <c r="D73" s="98">
        <v>64588</v>
      </c>
      <c r="E73" s="98">
        <v>100360</v>
      </c>
      <c r="F73" s="98">
        <v>257839</v>
      </c>
      <c r="G73" s="98">
        <v>69177</v>
      </c>
      <c r="H73" s="98">
        <v>69110</v>
      </c>
      <c r="I73" s="60"/>
      <c r="J73" s="60"/>
      <c r="K73" s="60"/>
      <c r="L73" s="60"/>
      <c r="M73" s="60"/>
      <c r="N73" s="60"/>
      <c r="O73" s="60"/>
    </row>
    <row r="74" spans="1:15" x14ac:dyDescent="0.2">
      <c r="A74" s="34" t="s">
        <v>210</v>
      </c>
      <c r="B74" s="98">
        <v>3587314</v>
      </c>
      <c r="C74" s="98">
        <v>718853</v>
      </c>
      <c r="D74" s="98">
        <v>66925</v>
      </c>
      <c r="E74" s="98">
        <v>101589</v>
      </c>
      <c r="F74" s="98">
        <v>261736</v>
      </c>
      <c r="G74" s="98">
        <v>67369</v>
      </c>
      <c r="H74" s="98">
        <v>70977</v>
      </c>
      <c r="I74" s="60"/>
      <c r="J74" s="60"/>
      <c r="K74" s="60"/>
      <c r="L74" s="60"/>
      <c r="M74" s="60"/>
      <c r="N74" s="60"/>
      <c r="O74" s="60"/>
    </row>
    <row r="75" spans="1:15" x14ac:dyDescent="0.2">
      <c r="A75" s="30" t="s">
        <v>222</v>
      </c>
      <c r="B75" s="176">
        <v>3683378</v>
      </c>
      <c r="C75" s="176">
        <v>724451</v>
      </c>
      <c r="D75" s="176">
        <v>68959</v>
      </c>
      <c r="E75" s="176">
        <v>102258</v>
      </c>
      <c r="F75" s="176">
        <v>264913</v>
      </c>
      <c r="G75" s="176">
        <v>65659</v>
      </c>
      <c r="H75" s="176">
        <v>72932</v>
      </c>
      <c r="I75" s="60"/>
      <c r="J75" s="60"/>
      <c r="K75" s="60"/>
      <c r="L75" s="60"/>
      <c r="M75" s="60"/>
      <c r="N75" s="60"/>
      <c r="O75" s="60"/>
    </row>
    <row r="76" spans="1:15" x14ac:dyDescent="0.2">
      <c r="A76" s="48" t="s">
        <v>352</v>
      </c>
      <c r="B76" s="48"/>
      <c r="C76" s="48"/>
      <c r="D76" s="42"/>
      <c r="E76" s="42"/>
      <c r="F76" s="42"/>
      <c r="G76" s="42"/>
      <c r="H76" s="42"/>
    </row>
    <row r="77" spans="1:15" x14ac:dyDescent="0.2">
      <c r="A77" s="34" t="s">
        <v>242</v>
      </c>
      <c r="B77" s="34"/>
      <c r="C77" s="34"/>
      <c r="D77" s="42"/>
      <c r="E77" s="42"/>
      <c r="F77" s="42"/>
      <c r="G77" s="42"/>
      <c r="H77" s="42"/>
    </row>
    <row r="78" spans="1:15" x14ac:dyDescent="0.2">
      <c r="A78" s="34"/>
      <c r="B78" s="34"/>
      <c r="C78" s="34"/>
      <c r="D78" s="42"/>
      <c r="E78" s="42"/>
      <c r="F78" s="42"/>
      <c r="G78" s="42"/>
      <c r="H78" s="42"/>
    </row>
    <row r="79" spans="1:15" x14ac:dyDescent="0.2">
      <c r="A79" s="8" t="s">
        <v>278</v>
      </c>
      <c r="B79" s="8"/>
      <c r="C79" s="8"/>
    </row>
    <row r="80" spans="1:15" x14ac:dyDescent="0.2">
      <c r="A80" s="210" t="s">
        <v>154</v>
      </c>
      <c r="B80" s="161"/>
      <c r="C80" s="161"/>
      <c r="D80" s="212" t="s">
        <v>169</v>
      </c>
      <c r="E80" s="212"/>
      <c r="F80" s="212"/>
      <c r="G80" s="212"/>
      <c r="H80" s="212"/>
    </row>
    <row r="81" spans="1:9" ht="25.5" x14ac:dyDescent="0.2">
      <c r="A81" s="211"/>
      <c r="B81" s="183" t="s">
        <v>170</v>
      </c>
      <c r="C81" s="183" t="s">
        <v>171</v>
      </c>
      <c r="D81" s="40" t="s">
        <v>172</v>
      </c>
      <c r="E81" s="40" t="s">
        <v>173</v>
      </c>
      <c r="F81" s="40" t="s">
        <v>174</v>
      </c>
      <c r="G81" s="40" t="s">
        <v>175</v>
      </c>
      <c r="H81" s="40" t="s">
        <v>176</v>
      </c>
      <c r="I81" s="177" t="s">
        <v>237</v>
      </c>
    </row>
    <row r="82" spans="1:9" x14ac:dyDescent="0.2">
      <c r="A82" s="20" t="s">
        <v>197</v>
      </c>
      <c r="B82" s="178"/>
      <c r="C82" s="178"/>
      <c r="D82" s="41"/>
      <c r="E82" s="41"/>
      <c r="F82" s="41"/>
      <c r="G82" s="41"/>
      <c r="H82" s="41"/>
    </row>
    <row r="83" spans="1:9" x14ac:dyDescent="0.2">
      <c r="A83" s="34" t="s">
        <v>166</v>
      </c>
      <c r="B83" s="98">
        <v>610129</v>
      </c>
      <c r="C83" s="98">
        <v>22758</v>
      </c>
      <c r="D83" s="98">
        <v>4686</v>
      </c>
      <c r="E83" s="98">
        <v>4221</v>
      </c>
      <c r="F83" s="98">
        <v>4157</v>
      </c>
      <c r="G83" s="98">
        <v>1086</v>
      </c>
      <c r="H83" s="98">
        <v>266</v>
      </c>
    </row>
    <row r="84" spans="1:9" x14ac:dyDescent="0.2">
      <c r="A84" s="34" t="s">
        <v>168</v>
      </c>
      <c r="B84" s="98">
        <v>622468</v>
      </c>
      <c r="C84" s="98">
        <v>22810</v>
      </c>
      <c r="D84" s="98">
        <v>4653</v>
      </c>
      <c r="E84" s="98">
        <v>4247</v>
      </c>
      <c r="F84" s="98">
        <v>4059</v>
      </c>
      <c r="G84" s="98">
        <v>1075</v>
      </c>
      <c r="H84" s="98">
        <v>302</v>
      </c>
    </row>
    <row r="85" spans="1:9" x14ac:dyDescent="0.2">
      <c r="A85" s="34" t="s">
        <v>195</v>
      </c>
      <c r="B85" s="98">
        <v>637658</v>
      </c>
      <c r="C85" s="98">
        <v>22594</v>
      </c>
      <c r="D85" s="98">
        <v>4625</v>
      </c>
      <c r="E85" s="98">
        <v>4308</v>
      </c>
      <c r="F85" s="98">
        <v>4032</v>
      </c>
      <c r="G85" s="98">
        <v>1101</v>
      </c>
      <c r="H85" s="98">
        <v>314</v>
      </c>
    </row>
    <row r="86" spans="1:9" x14ac:dyDescent="0.2">
      <c r="A86" s="34" t="s">
        <v>196</v>
      </c>
      <c r="B86" s="98">
        <v>645226</v>
      </c>
      <c r="C86" s="98">
        <v>22084</v>
      </c>
      <c r="D86" s="98">
        <v>4519</v>
      </c>
      <c r="E86" s="98">
        <v>4304</v>
      </c>
      <c r="F86" s="98">
        <v>4090</v>
      </c>
      <c r="G86" s="98">
        <v>1104</v>
      </c>
      <c r="H86" s="98">
        <v>332</v>
      </c>
    </row>
    <row r="87" spans="1:9" x14ac:dyDescent="0.2">
      <c r="A87" s="34" t="s">
        <v>210</v>
      </c>
      <c r="B87" s="98">
        <v>656193</v>
      </c>
      <c r="C87" s="98">
        <v>21724</v>
      </c>
      <c r="D87" s="98">
        <v>4498</v>
      </c>
      <c r="E87" s="98">
        <v>4312</v>
      </c>
      <c r="F87" s="98">
        <v>4206</v>
      </c>
      <c r="G87" s="98">
        <v>1117</v>
      </c>
      <c r="H87" s="98">
        <v>362</v>
      </c>
    </row>
    <row r="88" spans="1:9" x14ac:dyDescent="0.2">
      <c r="A88" s="26" t="s">
        <v>222</v>
      </c>
      <c r="B88" s="98">
        <v>667056</v>
      </c>
      <c r="C88" s="98">
        <v>21351</v>
      </c>
      <c r="D88" s="98">
        <v>4324</v>
      </c>
      <c r="E88" s="98">
        <v>4333</v>
      </c>
      <c r="F88" s="98">
        <v>4326</v>
      </c>
      <c r="G88" s="98">
        <v>1114</v>
      </c>
      <c r="H88" s="98">
        <v>369</v>
      </c>
      <c r="I88" s="58">
        <v>439</v>
      </c>
    </row>
    <row r="89" spans="1:9" x14ac:dyDescent="0.2">
      <c r="A89" s="21" t="s">
        <v>167</v>
      </c>
      <c r="B89" s="98"/>
      <c r="C89" s="98"/>
      <c r="D89" s="42"/>
      <c r="E89" s="42"/>
      <c r="F89" s="42"/>
      <c r="G89" s="42"/>
      <c r="H89" s="42"/>
    </row>
    <row r="90" spans="1:9" x14ac:dyDescent="0.2">
      <c r="A90" s="34" t="s">
        <v>166</v>
      </c>
      <c r="B90" s="98">
        <v>494596</v>
      </c>
      <c r="C90" s="98">
        <v>147257</v>
      </c>
      <c r="D90" s="98">
        <v>20352</v>
      </c>
      <c r="E90" s="98">
        <v>37030</v>
      </c>
      <c r="F90" s="98">
        <v>52829</v>
      </c>
      <c r="G90" s="98">
        <v>32465</v>
      </c>
      <c r="H90" s="98">
        <v>13415</v>
      </c>
    </row>
    <row r="91" spans="1:9" x14ac:dyDescent="0.2">
      <c r="A91" s="34" t="s">
        <v>168</v>
      </c>
      <c r="B91" s="98">
        <v>505152</v>
      </c>
      <c r="C91" s="98">
        <v>148458</v>
      </c>
      <c r="D91" s="98">
        <v>20494</v>
      </c>
      <c r="E91" s="98">
        <v>36955</v>
      </c>
      <c r="F91" s="98">
        <v>52596</v>
      </c>
      <c r="G91" s="98">
        <v>32006</v>
      </c>
      <c r="H91" s="98">
        <v>14232</v>
      </c>
    </row>
    <row r="92" spans="1:9" x14ac:dyDescent="0.2">
      <c r="A92" s="34" t="s">
        <v>195</v>
      </c>
      <c r="B92" s="98">
        <v>518955</v>
      </c>
      <c r="C92" s="98">
        <v>149112</v>
      </c>
      <c r="D92" s="98">
        <v>20405</v>
      </c>
      <c r="E92" s="98">
        <v>37149</v>
      </c>
      <c r="F92" s="98">
        <v>52669</v>
      </c>
      <c r="G92" s="98">
        <v>31477</v>
      </c>
      <c r="H92" s="98">
        <v>15479</v>
      </c>
    </row>
    <row r="93" spans="1:9" x14ac:dyDescent="0.2">
      <c r="A93" s="34" t="s">
        <v>196</v>
      </c>
      <c r="B93" s="98">
        <v>526061</v>
      </c>
      <c r="C93" s="98">
        <v>147497</v>
      </c>
      <c r="D93" s="98">
        <v>20131</v>
      </c>
      <c r="E93" s="98">
        <v>36828</v>
      </c>
      <c r="F93" s="98">
        <v>52972</v>
      </c>
      <c r="G93" s="98">
        <v>30718</v>
      </c>
      <c r="H93" s="98">
        <v>16448</v>
      </c>
    </row>
    <row r="94" spans="1:9" x14ac:dyDescent="0.2">
      <c r="A94" s="34" t="s">
        <v>210</v>
      </c>
      <c r="B94" s="98">
        <v>536969</v>
      </c>
      <c r="C94" s="98">
        <v>146645</v>
      </c>
      <c r="D94" s="98">
        <v>19706</v>
      </c>
      <c r="E94" s="98">
        <v>36683</v>
      </c>
      <c r="F94" s="98">
        <v>53761</v>
      </c>
      <c r="G94" s="98">
        <v>30432</v>
      </c>
      <c r="H94" s="98">
        <v>17288</v>
      </c>
    </row>
    <row r="95" spans="1:9" x14ac:dyDescent="0.2">
      <c r="A95" s="26" t="s">
        <v>222</v>
      </c>
      <c r="B95" s="98">
        <v>547363</v>
      </c>
      <c r="C95" s="98">
        <v>143863</v>
      </c>
      <c r="D95" s="98">
        <v>18629</v>
      </c>
      <c r="E95" s="98">
        <v>36241</v>
      </c>
      <c r="F95" s="98">
        <v>54086</v>
      </c>
      <c r="G95" s="98">
        <v>29855</v>
      </c>
      <c r="H95" s="98">
        <v>17897</v>
      </c>
      <c r="I95" s="58">
        <v>3232</v>
      </c>
    </row>
    <row r="96" spans="1:9" x14ac:dyDescent="0.2">
      <c r="A96" s="19" t="s">
        <v>7</v>
      </c>
      <c r="B96" s="173"/>
      <c r="C96" s="173"/>
      <c r="D96" s="42"/>
      <c r="E96" s="42"/>
      <c r="F96" s="42"/>
      <c r="G96" s="42"/>
      <c r="H96" s="42"/>
    </row>
    <row r="97" spans="1:15" x14ac:dyDescent="0.2">
      <c r="A97" s="34" t="s">
        <v>166</v>
      </c>
      <c r="B97" s="98">
        <v>1105162</v>
      </c>
      <c r="C97" s="98">
        <v>170056</v>
      </c>
      <c r="D97" s="98">
        <v>25041</v>
      </c>
      <c r="E97" s="98">
        <v>41256</v>
      </c>
      <c r="F97" s="98">
        <v>57002</v>
      </c>
      <c r="G97" s="98">
        <v>33556</v>
      </c>
      <c r="H97" s="98">
        <v>13682</v>
      </c>
      <c r="I97" s="60"/>
      <c r="J97" s="60"/>
      <c r="K97" s="60"/>
      <c r="L97" s="60"/>
      <c r="M97" s="60"/>
      <c r="N97" s="60"/>
      <c r="O97" s="60"/>
    </row>
    <row r="98" spans="1:15" x14ac:dyDescent="0.2">
      <c r="A98" s="34" t="s">
        <v>168</v>
      </c>
      <c r="B98" s="98">
        <v>1128156</v>
      </c>
      <c r="C98" s="98">
        <v>171318</v>
      </c>
      <c r="D98" s="98">
        <v>25150</v>
      </c>
      <c r="E98" s="98">
        <v>41213</v>
      </c>
      <c r="F98" s="98">
        <v>56678</v>
      </c>
      <c r="G98" s="98">
        <v>33087</v>
      </c>
      <c r="H98" s="98">
        <v>14536</v>
      </c>
      <c r="I98" s="60"/>
      <c r="J98" s="60"/>
      <c r="K98" s="60"/>
      <c r="L98" s="60"/>
      <c r="M98" s="60"/>
      <c r="N98" s="60"/>
      <c r="O98" s="60"/>
    </row>
    <row r="99" spans="1:15" x14ac:dyDescent="0.2">
      <c r="A99" s="34" t="s">
        <v>195</v>
      </c>
      <c r="B99" s="98">
        <v>1157240</v>
      </c>
      <c r="C99" s="98">
        <v>171764</v>
      </c>
      <c r="D99" s="98">
        <v>25033</v>
      </c>
      <c r="E99" s="98">
        <v>41467</v>
      </c>
      <c r="F99" s="98">
        <v>56727</v>
      </c>
      <c r="G99" s="98">
        <v>32585</v>
      </c>
      <c r="H99" s="98">
        <v>15800</v>
      </c>
      <c r="I99" s="60"/>
      <c r="J99" s="60"/>
      <c r="K99" s="60"/>
      <c r="L99" s="60"/>
      <c r="M99" s="60"/>
      <c r="N99" s="60"/>
      <c r="O99" s="60"/>
    </row>
    <row r="100" spans="1:15" x14ac:dyDescent="0.2">
      <c r="A100" s="34" t="s">
        <v>196</v>
      </c>
      <c r="B100" s="98">
        <v>1171999</v>
      </c>
      <c r="C100" s="98">
        <v>169649</v>
      </c>
      <c r="D100" s="98">
        <v>24653</v>
      </c>
      <c r="E100" s="98">
        <v>41142</v>
      </c>
      <c r="F100" s="98">
        <v>57086</v>
      </c>
      <c r="G100" s="98">
        <v>31835</v>
      </c>
      <c r="H100" s="98">
        <v>16789</v>
      </c>
      <c r="I100" s="60"/>
      <c r="J100" s="60"/>
      <c r="K100" s="60"/>
      <c r="L100" s="60"/>
      <c r="M100" s="60"/>
      <c r="N100" s="60"/>
      <c r="O100" s="60"/>
    </row>
    <row r="101" spans="1:15" x14ac:dyDescent="0.2">
      <c r="A101" s="34" t="s">
        <v>210</v>
      </c>
      <c r="B101" s="98">
        <v>1193976</v>
      </c>
      <c r="C101" s="98">
        <v>168439</v>
      </c>
      <c r="D101" s="98">
        <v>24207</v>
      </c>
      <c r="E101" s="98">
        <v>41009</v>
      </c>
      <c r="F101" s="98">
        <v>57995</v>
      </c>
      <c r="G101" s="98">
        <v>31561</v>
      </c>
      <c r="H101" s="98">
        <v>17660</v>
      </c>
      <c r="J101" s="60"/>
      <c r="K101" s="60"/>
      <c r="L101" s="60"/>
      <c r="M101" s="60"/>
      <c r="N101" s="60"/>
      <c r="O101" s="60"/>
    </row>
    <row r="102" spans="1:15" x14ac:dyDescent="0.2">
      <c r="A102" s="30" t="s">
        <v>222</v>
      </c>
      <c r="B102" s="176">
        <v>1215402</v>
      </c>
      <c r="C102" s="176">
        <v>165283</v>
      </c>
      <c r="D102" s="176">
        <v>22957</v>
      </c>
      <c r="E102" s="176">
        <v>40587</v>
      </c>
      <c r="F102" s="176">
        <v>58449</v>
      </c>
      <c r="G102" s="176">
        <v>30981</v>
      </c>
      <c r="H102" s="176">
        <v>18275</v>
      </c>
      <c r="I102" s="61">
        <v>3673</v>
      </c>
      <c r="J102" s="60"/>
      <c r="K102" s="60"/>
      <c r="L102" s="60"/>
      <c r="M102" s="60"/>
      <c r="N102" s="60"/>
      <c r="O102" s="60"/>
    </row>
    <row r="103" spans="1:15" x14ac:dyDescent="0.2">
      <c r="A103" s="179" t="s">
        <v>307</v>
      </c>
      <c r="B103" s="179"/>
      <c r="C103" s="179"/>
    </row>
    <row r="104" spans="1:15" x14ac:dyDescent="0.2">
      <c r="A104" s="179" t="s">
        <v>216</v>
      </c>
      <c r="B104" s="179"/>
      <c r="C104" s="179"/>
    </row>
    <row r="105" spans="1:15" x14ac:dyDescent="0.2">
      <c r="A105" s="48" t="s">
        <v>241</v>
      </c>
      <c r="B105" s="48"/>
      <c r="C105" s="48"/>
      <c r="D105" s="42"/>
      <c r="E105" s="42"/>
      <c r="F105" s="42"/>
      <c r="G105" s="42"/>
      <c r="H105" s="42"/>
    </row>
    <row r="108" spans="1:15" x14ac:dyDescent="0.2">
      <c r="A108" s="8" t="s">
        <v>279</v>
      </c>
      <c r="B108" s="8"/>
      <c r="C108" s="8"/>
    </row>
    <row r="109" spans="1:15" x14ac:dyDescent="0.2">
      <c r="A109" s="210" t="s">
        <v>154</v>
      </c>
      <c r="B109" s="161"/>
      <c r="C109" s="161"/>
      <c r="D109" s="212" t="s">
        <v>169</v>
      </c>
      <c r="E109" s="212"/>
      <c r="F109" s="212"/>
      <c r="G109" s="212"/>
      <c r="H109" s="212"/>
    </row>
    <row r="110" spans="1:15" ht="25.5" x14ac:dyDescent="0.2">
      <c r="A110" s="211"/>
      <c r="B110" s="183" t="s">
        <v>170</v>
      </c>
      <c r="C110" s="183" t="s">
        <v>171</v>
      </c>
      <c r="D110" s="40" t="s">
        <v>172</v>
      </c>
      <c r="E110" s="40" t="s">
        <v>173</v>
      </c>
      <c r="F110" s="40" t="s">
        <v>174</v>
      </c>
      <c r="G110" s="40" t="s">
        <v>175</v>
      </c>
      <c r="H110" s="40" t="s">
        <v>176</v>
      </c>
    </row>
    <row r="111" spans="1:15" x14ac:dyDescent="0.2">
      <c r="A111" s="20" t="s">
        <v>197</v>
      </c>
      <c r="B111" s="178"/>
      <c r="C111" s="178"/>
      <c r="D111" s="41"/>
      <c r="E111" s="41"/>
      <c r="F111" s="41"/>
      <c r="G111" s="41"/>
      <c r="H111" s="41"/>
    </row>
    <row r="112" spans="1:15" x14ac:dyDescent="0.2">
      <c r="A112" s="34" t="s">
        <v>166</v>
      </c>
      <c r="B112" s="98">
        <v>928857</v>
      </c>
      <c r="C112" s="98">
        <v>41996</v>
      </c>
      <c r="D112" s="98">
        <v>12195</v>
      </c>
      <c r="E112" s="98">
        <v>6833</v>
      </c>
      <c r="F112" s="98">
        <v>27003</v>
      </c>
      <c r="G112" s="98">
        <v>2108</v>
      </c>
      <c r="H112" s="98">
        <v>1315</v>
      </c>
    </row>
    <row r="113" spans="1:15" x14ac:dyDescent="0.2">
      <c r="A113" s="34" t="s">
        <v>168</v>
      </c>
      <c r="B113" s="98">
        <v>943065</v>
      </c>
      <c r="C113" s="98">
        <v>42262</v>
      </c>
      <c r="D113" s="98">
        <v>12345</v>
      </c>
      <c r="E113" s="98">
        <v>6875</v>
      </c>
      <c r="F113" s="98">
        <v>27708</v>
      </c>
      <c r="G113" s="98">
        <v>2081</v>
      </c>
      <c r="H113" s="98">
        <v>1341</v>
      </c>
    </row>
    <row r="114" spans="1:15" x14ac:dyDescent="0.2">
      <c r="A114" s="34" t="s">
        <v>195</v>
      </c>
      <c r="B114" s="98">
        <v>964571</v>
      </c>
      <c r="C114" s="98">
        <v>42931</v>
      </c>
      <c r="D114" s="98">
        <v>12549</v>
      </c>
      <c r="E114" s="98">
        <v>7035</v>
      </c>
      <c r="F114" s="98">
        <v>28526</v>
      </c>
      <c r="G114" s="98">
        <v>2038</v>
      </c>
      <c r="H114" s="98">
        <v>1452</v>
      </c>
    </row>
    <row r="115" spans="1:15" x14ac:dyDescent="0.2">
      <c r="A115" s="34" t="s">
        <v>196</v>
      </c>
      <c r="B115" s="98">
        <v>988573</v>
      </c>
      <c r="C115" s="98">
        <v>43562</v>
      </c>
      <c r="D115" s="98">
        <v>12798</v>
      </c>
      <c r="E115" s="98">
        <v>7157</v>
      </c>
      <c r="F115" s="98">
        <v>29647</v>
      </c>
      <c r="G115" s="98">
        <v>2033</v>
      </c>
      <c r="H115" s="98">
        <v>1564</v>
      </c>
    </row>
    <row r="116" spans="1:15" x14ac:dyDescent="0.2">
      <c r="A116" s="34" t="s">
        <v>210</v>
      </c>
      <c r="B116" s="98">
        <v>1015551</v>
      </c>
      <c r="C116" s="98">
        <v>44362</v>
      </c>
      <c r="D116" s="98">
        <v>12994</v>
      </c>
      <c r="E116" s="98">
        <v>7248</v>
      </c>
      <c r="F116" s="98">
        <v>31061</v>
      </c>
      <c r="G116" s="98">
        <v>2004</v>
      </c>
      <c r="H116" s="98">
        <v>1660</v>
      </c>
    </row>
    <row r="117" spans="1:15" x14ac:dyDescent="0.2">
      <c r="A117" s="26" t="s">
        <v>222</v>
      </c>
      <c r="B117" s="98">
        <v>1047932</v>
      </c>
      <c r="C117" s="98">
        <v>45522</v>
      </c>
      <c r="D117" s="98">
        <v>13245</v>
      </c>
      <c r="E117" s="98">
        <v>7360</v>
      </c>
      <c r="F117" s="98">
        <v>32699</v>
      </c>
      <c r="G117" s="98">
        <v>1990</v>
      </c>
      <c r="H117" s="98">
        <v>1735</v>
      </c>
    </row>
    <row r="118" spans="1:15" x14ac:dyDescent="0.2">
      <c r="A118" s="21" t="s">
        <v>167</v>
      </c>
      <c r="B118" s="98"/>
      <c r="C118" s="98"/>
      <c r="D118" s="98"/>
      <c r="E118" s="98"/>
      <c r="F118" s="98"/>
      <c r="G118" s="98"/>
      <c r="H118" s="98"/>
    </row>
    <row r="119" spans="1:15" x14ac:dyDescent="0.2">
      <c r="A119" s="34" t="s">
        <v>166</v>
      </c>
      <c r="B119" s="98">
        <v>763314</v>
      </c>
      <c r="C119" s="98">
        <v>255984</v>
      </c>
      <c r="D119" s="98">
        <v>21465</v>
      </c>
      <c r="E119" s="98">
        <v>27041</v>
      </c>
      <c r="F119" s="98">
        <v>178112</v>
      </c>
      <c r="G119" s="98">
        <v>55034</v>
      </c>
      <c r="H119" s="98">
        <v>37244</v>
      </c>
    </row>
    <row r="120" spans="1:15" x14ac:dyDescent="0.2">
      <c r="A120" s="34" t="s">
        <v>168</v>
      </c>
      <c r="B120" s="98">
        <v>774293</v>
      </c>
      <c r="C120" s="98">
        <v>255572</v>
      </c>
      <c r="D120" s="98">
        <v>21838</v>
      </c>
      <c r="E120" s="98">
        <v>27242</v>
      </c>
      <c r="F120" s="98">
        <v>180779</v>
      </c>
      <c r="G120" s="98">
        <v>52906</v>
      </c>
      <c r="H120" s="98">
        <v>38666</v>
      </c>
    </row>
    <row r="121" spans="1:15" x14ac:dyDescent="0.2">
      <c r="A121" s="34" t="s">
        <v>195</v>
      </c>
      <c r="B121" s="98">
        <v>794558</v>
      </c>
      <c r="C121" s="98">
        <v>257603</v>
      </c>
      <c r="D121" s="98">
        <v>22393</v>
      </c>
      <c r="E121" s="98">
        <v>27777</v>
      </c>
      <c r="F121" s="98">
        <v>184137</v>
      </c>
      <c r="G121" s="98">
        <v>51390</v>
      </c>
      <c r="H121" s="98">
        <v>40254</v>
      </c>
    </row>
    <row r="122" spans="1:15" x14ac:dyDescent="0.2">
      <c r="A122" s="34" t="s">
        <v>196</v>
      </c>
      <c r="B122" s="98">
        <v>823607</v>
      </c>
      <c r="C122" s="98">
        <v>260277</v>
      </c>
      <c r="D122" s="98">
        <v>22811</v>
      </c>
      <c r="E122" s="98">
        <v>28105</v>
      </c>
      <c r="F122" s="98">
        <v>189258</v>
      </c>
      <c r="G122" s="98">
        <v>50104</v>
      </c>
      <c r="H122" s="98">
        <v>42011</v>
      </c>
    </row>
    <row r="123" spans="1:15" x14ac:dyDescent="0.2">
      <c r="A123" s="34" t="s">
        <v>210</v>
      </c>
      <c r="B123" s="98">
        <v>857824</v>
      </c>
      <c r="C123" s="98">
        <v>262994</v>
      </c>
      <c r="D123" s="98">
        <v>23079</v>
      </c>
      <c r="E123" s="98">
        <v>28212</v>
      </c>
      <c r="F123" s="98">
        <v>192699</v>
      </c>
      <c r="G123" s="98">
        <v>48379</v>
      </c>
      <c r="H123" s="98">
        <v>43833</v>
      </c>
    </row>
    <row r="124" spans="1:15" x14ac:dyDescent="0.2">
      <c r="A124" s="26" t="s">
        <v>222</v>
      </c>
      <c r="B124" s="98">
        <v>899117</v>
      </c>
      <c r="C124" s="98">
        <v>266405</v>
      </c>
      <c r="D124" s="98">
        <v>23521</v>
      </c>
      <c r="E124" s="98">
        <v>28393</v>
      </c>
      <c r="F124" s="98">
        <v>199050</v>
      </c>
      <c r="G124" s="98">
        <v>46803</v>
      </c>
      <c r="H124" s="98">
        <v>46158</v>
      </c>
    </row>
    <row r="125" spans="1:15" x14ac:dyDescent="0.2">
      <c r="A125" s="21" t="s">
        <v>7</v>
      </c>
      <c r="B125" s="180"/>
      <c r="C125" s="180"/>
      <c r="D125" s="42"/>
      <c r="E125" s="42"/>
      <c r="F125" s="42"/>
      <c r="G125" s="42"/>
      <c r="H125" s="42"/>
    </row>
    <row r="126" spans="1:15" x14ac:dyDescent="0.2">
      <c r="A126" s="34" t="s">
        <v>166</v>
      </c>
      <c r="B126" s="98">
        <v>1693208</v>
      </c>
      <c r="C126" s="98">
        <v>298288</v>
      </c>
      <c r="D126" s="98">
        <v>33701</v>
      </c>
      <c r="E126" s="98">
        <v>33886</v>
      </c>
      <c r="F126" s="98">
        <v>205297</v>
      </c>
      <c r="G126" s="98">
        <v>57250</v>
      </c>
      <c r="H126" s="98">
        <v>38595</v>
      </c>
      <c r="I126" s="60"/>
      <c r="J126" s="60"/>
      <c r="K126" s="60"/>
      <c r="L126" s="60"/>
      <c r="M126" s="60"/>
      <c r="N126" s="60"/>
      <c r="O126" s="60"/>
    </row>
    <row r="127" spans="1:15" x14ac:dyDescent="0.2">
      <c r="A127" s="34" t="s">
        <v>168</v>
      </c>
      <c r="B127" s="98">
        <v>1718366</v>
      </c>
      <c r="C127" s="98">
        <v>298121</v>
      </c>
      <c r="D127" s="98">
        <v>34225</v>
      </c>
      <c r="E127" s="98">
        <v>34131</v>
      </c>
      <c r="F127" s="98">
        <v>208651</v>
      </c>
      <c r="G127" s="98">
        <v>55082</v>
      </c>
      <c r="H127" s="98">
        <v>40042</v>
      </c>
      <c r="I127" s="60"/>
      <c r="J127" s="60"/>
      <c r="K127" s="60"/>
      <c r="L127" s="60"/>
      <c r="M127" s="60"/>
      <c r="N127" s="60"/>
      <c r="O127" s="60"/>
    </row>
    <row r="128" spans="1:15" x14ac:dyDescent="0.2">
      <c r="A128" s="34" t="s">
        <v>195</v>
      </c>
      <c r="B128" s="98">
        <v>1760141</v>
      </c>
      <c r="C128" s="98">
        <v>300814</v>
      </c>
      <c r="D128" s="98">
        <v>34985</v>
      </c>
      <c r="E128" s="98">
        <v>34826</v>
      </c>
      <c r="F128" s="98">
        <v>212830</v>
      </c>
      <c r="G128" s="98">
        <v>53511</v>
      </c>
      <c r="H128" s="98">
        <v>41738</v>
      </c>
      <c r="I128" s="60"/>
      <c r="J128" s="60"/>
      <c r="K128" s="60"/>
      <c r="L128" s="60"/>
      <c r="M128" s="60"/>
      <c r="N128" s="60"/>
      <c r="O128" s="60"/>
    </row>
    <row r="129" spans="1:15" x14ac:dyDescent="0.2">
      <c r="A129" s="34" t="s">
        <v>196</v>
      </c>
      <c r="B129" s="98">
        <v>1813213</v>
      </c>
      <c r="C129" s="98">
        <v>304121</v>
      </c>
      <c r="D129" s="98">
        <v>35649</v>
      </c>
      <c r="E129" s="98">
        <v>35277</v>
      </c>
      <c r="F129" s="98">
        <v>219069</v>
      </c>
      <c r="G129" s="98">
        <v>52214</v>
      </c>
      <c r="H129" s="98">
        <v>43605</v>
      </c>
      <c r="I129" s="60"/>
      <c r="J129" s="60"/>
      <c r="K129" s="60"/>
      <c r="L129" s="60"/>
      <c r="M129" s="60"/>
      <c r="N129" s="60"/>
      <c r="O129" s="60"/>
    </row>
    <row r="130" spans="1:15" x14ac:dyDescent="0.2">
      <c r="A130" s="34" t="s">
        <v>210</v>
      </c>
      <c r="B130" s="98">
        <v>1874455</v>
      </c>
      <c r="C130" s="98">
        <v>307628</v>
      </c>
      <c r="D130" s="98">
        <v>36109</v>
      </c>
      <c r="E130" s="98">
        <v>35474</v>
      </c>
      <c r="F130" s="98">
        <v>223915</v>
      </c>
      <c r="G130" s="98">
        <v>50453</v>
      </c>
      <c r="H130" s="98">
        <v>45520</v>
      </c>
      <c r="I130" s="60"/>
      <c r="J130" s="60"/>
      <c r="K130" s="60"/>
      <c r="L130" s="60"/>
      <c r="M130" s="60"/>
      <c r="N130" s="60"/>
      <c r="O130" s="60"/>
    </row>
    <row r="131" spans="1:15" x14ac:dyDescent="0.2">
      <c r="A131" s="30" t="s">
        <v>222</v>
      </c>
      <c r="B131" s="176">
        <v>1948159</v>
      </c>
      <c r="C131" s="176">
        <v>312191</v>
      </c>
      <c r="D131" s="176">
        <v>36797</v>
      </c>
      <c r="E131" s="176">
        <v>35767</v>
      </c>
      <c r="F131" s="176">
        <v>231904</v>
      </c>
      <c r="G131" s="176">
        <v>48856</v>
      </c>
      <c r="H131" s="176">
        <v>47917</v>
      </c>
      <c r="I131" s="60"/>
      <c r="J131" s="60"/>
      <c r="K131" s="60"/>
      <c r="L131" s="60"/>
      <c r="M131" s="60"/>
      <c r="N131" s="60"/>
      <c r="O131" s="60"/>
    </row>
    <row r="132" spans="1:15" x14ac:dyDescent="0.2">
      <c r="A132" s="34" t="s">
        <v>307</v>
      </c>
      <c r="B132" s="98"/>
      <c r="C132" s="98"/>
      <c r="D132" s="98"/>
      <c r="E132" s="98"/>
      <c r="F132" s="98"/>
      <c r="G132" s="98"/>
      <c r="H132" s="98"/>
      <c r="I132" s="60"/>
      <c r="J132" s="60"/>
      <c r="K132" s="60"/>
      <c r="L132" s="60"/>
      <c r="M132" s="60"/>
      <c r="N132" s="60"/>
      <c r="O132" s="60"/>
    </row>
    <row r="133" spans="1:15" x14ac:dyDescent="0.2">
      <c r="A133" s="34" t="s">
        <v>353</v>
      </c>
      <c r="B133" s="34"/>
      <c r="C133" s="34"/>
      <c r="D133" s="42"/>
      <c r="E133" s="42"/>
      <c r="F133" s="42"/>
      <c r="G133" s="42"/>
      <c r="H133" s="42"/>
    </row>
    <row r="134" spans="1:15" x14ac:dyDescent="0.2">
      <c r="A134" s="21" t="s">
        <v>354</v>
      </c>
      <c r="B134" s="21"/>
      <c r="C134" s="21"/>
    </row>
    <row r="137" spans="1:15" x14ac:dyDescent="0.2">
      <c r="A137" s="8" t="s">
        <v>280</v>
      </c>
      <c r="B137" s="8"/>
      <c r="C137" s="8"/>
    </row>
    <row r="138" spans="1:15" x14ac:dyDescent="0.2">
      <c r="A138" s="210" t="s">
        <v>154</v>
      </c>
      <c r="B138" s="161"/>
      <c r="C138" s="161"/>
      <c r="D138" s="212" t="s">
        <v>169</v>
      </c>
      <c r="E138" s="212"/>
      <c r="F138" s="212"/>
      <c r="G138" s="212"/>
      <c r="H138" s="212"/>
    </row>
    <row r="139" spans="1:15" ht="25.5" x14ac:dyDescent="0.2">
      <c r="A139" s="211"/>
      <c r="B139" s="183" t="s">
        <v>170</v>
      </c>
      <c r="C139" s="183" t="s">
        <v>171</v>
      </c>
      <c r="D139" s="40" t="s">
        <v>172</v>
      </c>
      <c r="E139" s="40" t="s">
        <v>173</v>
      </c>
      <c r="F139" s="40" t="s">
        <v>174</v>
      </c>
      <c r="G139" s="40" t="s">
        <v>175</v>
      </c>
      <c r="H139" s="40" t="s">
        <v>176</v>
      </c>
    </row>
    <row r="140" spans="1:15" x14ac:dyDescent="0.2">
      <c r="A140" s="20" t="s">
        <v>197</v>
      </c>
      <c r="B140" s="20"/>
      <c r="C140" s="20"/>
      <c r="D140" s="41"/>
      <c r="E140" s="41"/>
      <c r="F140" s="41"/>
      <c r="G140" s="41"/>
      <c r="H140" s="41"/>
    </row>
    <row r="141" spans="1:15" x14ac:dyDescent="0.2">
      <c r="A141" s="34" t="s">
        <v>166</v>
      </c>
      <c r="B141" s="42">
        <v>195974</v>
      </c>
      <c r="C141" s="42">
        <v>7933</v>
      </c>
      <c r="D141" s="42">
        <v>1808</v>
      </c>
      <c r="E141" s="42">
        <v>3073</v>
      </c>
      <c r="F141" s="42">
        <v>1280</v>
      </c>
      <c r="G141" s="42">
        <v>208</v>
      </c>
      <c r="H141" s="42">
        <v>24</v>
      </c>
    </row>
    <row r="142" spans="1:15" x14ac:dyDescent="0.2">
      <c r="A142" s="34" t="s">
        <v>168</v>
      </c>
      <c r="B142" s="42">
        <v>200898</v>
      </c>
      <c r="C142" s="42">
        <v>8151</v>
      </c>
      <c r="D142" s="42">
        <v>1843</v>
      </c>
      <c r="E142" s="42">
        <v>3113</v>
      </c>
      <c r="F142" s="42">
        <v>1290</v>
      </c>
      <c r="G142" s="42">
        <v>219</v>
      </c>
      <c r="H142" s="42">
        <v>25</v>
      </c>
    </row>
    <row r="143" spans="1:15" x14ac:dyDescent="0.2">
      <c r="A143" s="34" t="s">
        <v>195</v>
      </c>
      <c r="B143" s="42">
        <v>204954</v>
      </c>
      <c r="C143" s="42">
        <v>8292</v>
      </c>
      <c r="D143" s="42">
        <v>1906</v>
      </c>
      <c r="E143" s="42">
        <v>3124</v>
      </c>
      <c r="F143" s="42">
        <v>1303</v>
      </c>
      <c r="G143" s="42">
        <v>216</v>
      </c>
      <c r="H143" s="42">
        <v>30</v>
      </c>
    </row>
    <row r="144" spans="1:15" x14ac:dyDescent="0.2">
      <c r="A144" s="34" t="s">
        <v>196</v>
      </c>
      <c r="B144" s="42">
        <v>206732</v>
      </c>
      <c r="C144" s="42">
        <v>8403</v>
      </c>
      <c r="D144" s="42">
        <v>1943</v>
      </c>
      <c r="E144" s="42">
        <v>3180</v>
      </c>
      <c r="F144" s="42">
        <v>1306</v>
      </c>
      <c r="G144" s="42">
        <v>215</v>
      </c>
      <c r="H144" s="42">
        <v>34</v>
      </c>
    </row>
    <row r="145" spans="1:15" x14ac:dyDescent="0.2">
      <c r="A145" s="34" t="s">
        <v>210</v>
      </c>
      <c r="B145" s="42">
        <v>208668</v>
      </c>
      <c r="C145" s="42">
        <v>8546</v>
      </c>
      <c r="D145" s="42">
        <v>2015</v>
      </c>
      <c r="E145" s="42">
        <v>3215</v>
      </c>
      <c r="F145" s="42">
        <v>1310</v>
      </c>
      <c r="G145" s="42">
        <v>215</v>
      </c>
      <c r="H145" s="42">
        <v>39</v>
      </c>
    </row>
    <row r="146" spans="1:15" x14ac:dyDescent="0.2">
      <c r="A146" s="26" t="s">
        <v>222</v>
      </c>
      <c r="B146" s="42">
        <v>210606</v>
      </c>
      <c r="C146" s="42">
        <v>8744</v>
      </c>
      <c r="D146" s="42">
        <v>2083</v>
      </c>
      <c r="E146" s="42">
        <v>3262</v>
      </c>
      <c r="F146" s="42">
        <v>1315</v>
      </c>
      <c r="G146" s="42">
        <v>227</v>
      </c>
      <c r="H146" s="42">
        <v>46</v>
      </c>
    </row>
    <row r="147" spans="1:15" x14ac:dyDescent="0.2">
      <c r="A147" s="21" t="s">
        <v>167</v>
      </c>
      <c r="B147" s="42"/>
      <c r="C147" s="42"/>
      <c r="D147" s="42"/>
      <c r="E147" s="42"/>
      <c r="F147" s="42"/>
      <c r="G147" s="42"/>
      <c r="H147" s="42"/>
    </row>
    <row r="148" spans="1:15" x14ac:dyDescent="0.2">
      <c r="A148" s="34" t="s">
        <v>166</v>
      </c>
      <c r="B148" s="42">
        <v>142246</v>
      </c>
      <c r="C148" s="42">
        <v>48362</v>
      </c>
      <c r="D148" s="42">
        <v>8463</v>
      </c>
      <c r="E148" s="42">
        <v>24592</v>
      </c>
      <c r="F148" s="42">
        <v>14094</v>
      </c>
      <c r="G148" s="42">
        <v>11479</v>
      </c>
      <c r="H148" s="42">
        <v>2700</v>
      </c>
    </row>
    <row r="149" spans="1:15" x14ac:dyDescent="0.2">
      <c r="A149" s="34" t="s">
        <v>168</v>
      </c>
      <c r="B149" s="42">
        <v>146774</v>
      </c>
      <c r="C149" s="42">
        <v>48903</v>
      </c>
      <c r="D149" s="42">
        <v>8505</v>
      </c>
      <c r="E149" s="42">
        <v>24624</v>
      </c>
      <c r="F149" s="42">
        <v>14304</v>
      </c>
      <c r="G149" s="42">
        <v>11466</v>
      </c>
      <c r="H149" s="42">
        <v>2786</v>
      </c>
    </row>
    <row r="150" spans="1:15" x14ac:dyDescent="0.2">
      <c r="A150" s="34" t="s">
        <v>195</v>
      </c>
      <c r="B150" s="42">
        <v>149836</v>
      </c>
      <c r="C150" s="42">
        <v>49436</v>
      </c>
      <c r="D150" s="42">
        <v>8734</v>
      </c>
      <c r="E150" s="42">
        <v>24432</v>
      </c>
      <c r="F150" s="42">
        <v>14541</v>
      </c>
      <c r="G150" s="42">
        <v>11371</v>
      </c>
      <c r="H150" s="42">
        <v>2912</v>
      </c>
    </row>
    <row r="151" spans="1:15" x14ac:dyDescent="0.2">
      <c r="A151" s="34" t="s">
        <v>196</v>
      </c>
      <c r="B151" s="42">
        <v>150887</v>
      </c>
      <c r="C151" s="42">
        <v>49719</v>
      </c>
      <c r="D151" s="42">
        <v>8823</v>
      </c>
      <c r="E151" s="42">
        <v>24266</v>
      </c>
      <c r="F151" s="42">
        <v>14462</v>
      </c>
      <c r="G151" s="42">
        <v>11271</v>
      </c>
      <c r="H151" s="42">
        <v>3005</v>
      </c>
    </row>
    <row r="152" spans="1:15" x14ac:dyDescent="0.2">
      <c r="A152" s="34" t="s">
        <v>210</v>
      </c>
      <c r="B152" s="42">
        <v>152502</v>
      </c>
      <c r="C152" s="42">
        <v>50014</v>
      </c>
      <c r="D152" s="42">
        <v>8945</v>
      </c>
      <c r="E152" s="42">
        <v>24107</v>
      </c>
      <c r="F152" s="42">
        <v>14380</v>
      </c>
      <c r="G152" s="42">
        <v>11052</v>
      </c>
      <c r="H152" s="42">
        <v>3036</v>
      </c>
    </row>
    <row r="153" spans="1:15" x14ac:dyDescent="0.2">
      <c r="A153" s="26" t="s">
        <v>222</v>
      </c>
      <c r="B153" s="42">
        <v>157987</v>
      </c>
      <c r="C153" s="42">
        <v>50531</v>
      </c>
      <c r="D153" s="42">
        <v>9050</v>
      </c>
      <c r="E153" s="42">
        <v>24047</v>
      </c>
      <c r="F153" s="42">
        <v>14584</v>
      </c>
      <c r="G153" s="42">
        <v>10911</v>
      </c>
      <c r="H153" s="42">
        <v>3177</v>
      </c>
    </row>
    <row r="154" spans="1:15" x14ac:dyDescent="0.2">
      <c r="A154" s="21" t="s">
        <v>7</v>
      </c>
      <c r="B154" s="42"/>
      <c r="C154" s="42"/>
      <c r="D154" s="42"/>
      <c r="E154" s="42"/>
      <c r="F154" s="42"/>
      <c r="G154" s="42"/>
      <c r="H154" s="42"/>
    </row>
    <row r="155" spans="1:15" x14ac:dyDescent="0.2">
      <c r="A155" s="34" t="s">
        <v>166</v>
      </c>
      <c r="B155" s="42">
        <v>338220</v>
      </c>
      <c r="C155" s="42">
        <v>56295</v>
      </c>
      <c r="D155" s="42">
        <v>10271</v>
      </c>
      <c r="E155" s="42">
        <v>27665</v>
      </c>
      <c r="F155" s="42">
        <v>15374</v>
      </c>
      <c r="G155" s="42">
        <v>11687</v>
      </c>
      <c r="H155" s="42">
        <v>2724</v>
      </c>
      <c r="I155" s="60"/>
      <c r="J155" s="60"/>
      <c r="K155" s="60"/>
      <c r="L155" s="60"/>
      <c r="M155" s="60"/>
      <c r="N155" s="60"/>
      <c r="O155" s="60"/>
    </row>
    <row r="156" spans="1:15" x14ac:dyDescent="0.2">
      <c r="A156" s="34" t="s">
        <v>168</v>
      </c>
      <c r="B156" s="42">
        <v>347672</v>
      </c>
      <c r="C156" s="42">
        <v>57054</v>
      </c>
      <c r="D156" s="42">
        <v>10348</v>
      </c>
      <c r="E156" s="42">
        <v>27737</v>
      </c>
      <c r="F156" s="42">
        <v>15594</v>
      </c>
      <c r="G156" s="42">
        <v>11685</v>
      </c>
      <c r="H156" s="42">
        <v>2811</v>
      </c>
      <c r="I156" s="60"/>
      <c r="J156" s="60"/>
      <c r="K156" s="60"/>
      <c r="L156" s="60"/>
      <c r="M156" s="60"/>
      <c r="N156" s="60"/>
      <c r="O156" s="60"/>
    </row>
    <row r="157" spans="1:15" x14ac:dyDescent="0.2">
      <c r="A157" s="34" t="s">
        <v>195</v>
      </c>
      <c r="B157" s="42">
        <v>354790</v>
      </c>
      <c r="C157" s="42">
        <v>57728</v>
      </c>
      <c r="D157" s="42">
        <v>10640</v>
      </c>
      <c r="E157" s="42">
        <v>27556</v>
      </c>
      <c r="F157" s="42">
        <v>15844</v>
      </c>
      <c r="G157" s="42">
        <v>11587</v>
      </c>
      <c r="H157" s="42">
        <v>2942</v>
      </c>
      <c r="I157" s="60"/>
      <c r="J157" s="60"/>
      <c r="K157" s="60"/>
      <c r="L157" s="60"/>
      <c r="M157" s="60"/>
      <c r="N157" s="60"/>
      <c r="O157" s="60"/>
    </row>
    <row r="158" spans="1:15" x14ac:dyDescent="0.2">
      <c r="A158" s="34" t="s">
        <v>196</v>
      </c>
      <c r="B158" s="42">
        <v>357619</v>
      </c>
      <c r="C158" s="42">
        <v>58122</v>
      </c>
      <c r="D158" s="42">
        <v>10766</v>
      </c>
      <c r="E158" s="42">
        <v>27446</v>
      </c>
      <c r="F158" s="42">
        <v>15768</v>
      </c>
      <c r="G158" s="42">
        <v>11486</v>
      </c>
      <c r="H158" s="42">
        <v>3039</v>
      </c>
      <c r="I158" s="60"/>
      <c r="J158" s="60"/>
      <c r="K158" s="60"/>
      <c r="L158" s="60"/>
      <c r="M158" s="60"/>
      <c r="N158" s="60"/>
      <c r="O158" s="60"/>
    </row>
    <row r="159" spans="1:15" x14ac:dyDescent="0.2">
      <c r="A159" s="34" t="s">
        <v>210</v>
      </c>
      <c r="B159" s="42">
        <v>361170</v>
      </c>
      <c r="C159" s="42">
        <v>58560</v>
      </c>
      <c r="D159" s="42">
        <v>10960</v>
      </c>
      <c r="E159" s="42">
        <v>27322</v>
      </c>
      <c r="F159" s="42">
        <v>15690</v>
      </c>
      <c r="G159" s="42">
        <v>11267</v>
      </c>
      <c r="H159" s="42">
        <v>3075</v>
      </c>
      <c r="I159" s="60"/>
      <c r="J159" s="60"/>
      <c r="K159" s="60"/>
      <c r="L159" s="60"/>
      <c r="M159" s="60"/>
      <c r="N159" s="60"/>
      <c r="O159" s="60"/>
    </row>
    <row r="160" spans="1:15" x14ac:dyDescent="0.2">
      <c r="A160" s="30" t="s">
        <v>222</v>
      </c>
      <c r="B160" s="44">
        <v>368593</v>
      </c>
      <c r="C160" s="44">
        <v>59275</v>
      </c>
      <c r="D160" s="44">
        <v>11133</v>
      </c>
      <c r="E160" s="44">
        <v>27309</v>
      </c>
      <c r="F160" s="44">
        <v>15899</v>
      </c>
      <c r="G160" s="44">
        <v>11138</v>
      </c>
      <c r="H160" s="44">
        <v>3223</v>
      </c>
      <c r="I160" s="60"/>
      <c r="J160" s="60"/>
      <c r="K160" s="60"/>
      <c r="L160" s="60"/>
      <c r="M160" s="60"/>
      <c r="N160" s="60"/>
      <c r="O160" s="60"/>
    </row>
    <row r="161" spans="1:15" x14ac:dyDescent="0.2">
      <c r="A161" s="26" t="s">
        <v>307</v>
      </c>
      <c r="B161" s="42"/>
      <c r="C161" s="42"/>
      <c r="D161" s="42"/>
      <c r="E161" s="42"/>
      <c r="F161" s="42"/>
      <c r="G161" s="42"/>
      <c r="H161" s="42"/>
      <c r="I161" s="60"/>
      <c r="J161" s="60"/>
      <c r="K161" s="60"/>
      <c r="L161" s="60"/>
      <c r="M161" s="60"/>
      <c r="N161" s="60"/>
      <c r="O161" s="60"/>
    </row>
    <row r="162" spans="1:15" x14ac:dyDescent="0.2">
      <c r="A162" s="48" t="s">
        <v>355</v>
      </c>
      <c r="B162" s="48"/>
      <c r="C162" s="48"/>
      <c r="D162" s="42"/>
      <c r="E162" s="42"/>
      <c r="F162" s="42"/>
      <c r="G162" s="42"/>
      <c r="H162" s="42"/>
    </row>
    <row r="165" spans="1:15" x14ac:dyDescent="0.2">
      <c r="A165" s="8" t="s">
        <v>281</v>
      </c>
      <c r="B165" s="8"/>
      <c r="C165" s="8"/>
    </row>
    <row r="166" spans="1:15" x14ac:dyDescent="0.2">
      <c r="A166" s="210" t="s">
        <v>154</v>
      </c>
      <c r="B166" s="161"/>
      <c r="C166" s="161"/>
      <c r="D166" s="212" t="s">
        <v>169</v>
      </c>
      <c r="E166" s="212"/>
      <c r="F166" s="212"/>
      <c r="G166" s="212"/>
      <c r="H166" s="212"/>
    </row>
    <row r="167" spans="1:15" ht="25.5" x14ac:dyDescent="0.2">
      <c r="A167" s="211"/>
      <c r="B167" s="185" t="s">
        <v>170</v>
      </c>
      <c r="C167" s="185" t="s">
        <v>171</v>
      </c>
      <c r="D167" s="40" t="s">
        <v>172</v>
      </c>
      <c r="E167" s="40" t="s">
        <v>173</v>
      </c>
      <c r="F167" s="40" t="s">
        <v>174</v>
      </c>
      <c r="G167" s="40" t="s">
        <v>175</v>
      </c>
      <c r="H167" s="40" t="s">
        <v>176</v>
      </c>
    </row>
    <row r="168" spans="1:15" x14ac:dyDescent="0.2">
      <c r="A168" s="20" t="s">
        <v>197</v>
      </c>
      <c r="B168" s="20"/>
      <c r="C168" s="20"/>
      <c r="D168" s="41"/>
      <c r="E168" s="41"/>
      <c r="F168" s="41"/>
      <c r="G168" s="41"/>
      <c r="H168" s="41"/>
    </row>
    <row r="169" spans="1:15" x14ac:dyDescent="0.2">
      <c r="A169" s="34" t="s">
        <v>165</v>
      </c>
      <c r="B169" s="98">
        <v>65376</v>
      </c>
      <c r="C169" s="98">
        <v>4587</v>
      </c>
      <c r="D169" s="42">
        <v>3116</v>
      </c>
      <c r="E169" s="42">
        <v>1391</v>
      </c>
      <c r="F169" s="42">
        <v>1918</v>
      </c>
      <c r="G169" s="42">
        <v>215</v>
      </c>
      <c r="H169" s="42">
        <v>154</v>
      </c>
      <c r="J169" s="42"/>
      <c r="K169" s="42"/>
    </row>
    <row r="170" spans="1:15" x14ac:dyDescent="0.2">
      <c r="A170" s="34" t="s">
        <v>166</v>
      </c>
      <c r="B170" s="98">
        <v>66483</v>
      </c>
      <c r="C170" s="98">
        <v>4530</v>
      </c>
      <c r="D170" s="42">
        <v>3046</v>
      </c>
      <c r="E170" s="42">
        <v>1352</v>
      </c>
      <c r="F170" s="42">
        <v>1884</v>
      </c>
      <c r="G170" s="42">
        <v>212</v>
      </c>
      <c r="H170" s="42">
        <v>154</v>
      </c>
      <c r="J170" s="42"/>
      <c r="K170" s="42"/>
    </row>
    <row r="171" spans="1:15" x14ac:dyDescent="0.2">
      <c r="A171" s="34" t="s">
        <v>168</v>
      </c>
      <c r="B171" s="98">
        <v>67709</v>
      </c>
      <c r="C171" s="98">
        <v>4501</v>
      </c>
      <c r="D171" s="42">
        <v>2995</v>
      </c>
      <c r="E171" s="42">
        <v>1345</v>
      </c>
      <c r="F171" s="42">
        <v>1898</v>
      </c>
      <c r="G171" s="42">
        <v>208</v>
      </c>
      <c r="H171" s="42">
        <v>150</v>
      </c>
      <c r="J171" s="42"/>
      <c r="K171" s="42"/>
    </row>
    <row r="172" spans="1:15" x14ac:dyDescent="0.2">
      <c r="A172" s="34" t="s">
        <v>195</v>
      </c>
      <c r="B172" s="98">
        <v>67691</v>
      </c>
      <c r="C172" s="98">
        <v>4446</v>
      </c>
      <c r="D172" s="42">
        <v>2851</v>
      </c>
      <c r="E172" s="42">
        <v>1341</v>
      </c>
      <c r="F172" s="42">
        <v>1895</v>
      </c>
      <c r="G172" s="42">
        <v>196</v>
      </c>
      <c r="H172" s="42">
        <v>150</v>
      </c>
      <c r="J172" s="42"/>
      <c r="K172" s="42"/>
    </row>
    <row r="173" spans="1:15" x14ac:dyDescent="0.2">
      <c r="A173" s="34" t="s">
        <v>196</v>
      </c>
      <c r="B173" s="98">
        <v>68911</v>
      </c>
      <c r="C173" s="98">
        <v>4371</v>
      </c>
      <c r="D173" s="42">
        <v>2836</v>
      </c>
      <c r="E173" s="42">
        <v>1316</v>
      </c>
      <c r="F173" s="42">
        <v>1917</v>
      </c>
      <c r="G173" s="42">
        <v>188</v>
      </c>
      <c r="H173" s="42">
        <v>152</v>
      </c>
      <c r="J173" s="42"/>
      <c r="K173" s="42"/>
    </row>
    <row r="174" spans="1:15" x14ac:dyDescent="0.2">
      <c r="A174" s="34" t="s">
        <v>210</v>
      </c>
      <c r="B174" s="98">
        <v>69845</v>
      </c>
      <c r="C174" s="98">
        <v>4324</v>
      </c>
      <c r="D174" s="98">
        <v>2781</v>
      </c>
      <c r="E174" s="98">
        <v>1323</v>
      </c>
      <c r="F174" s="98">
        <v>1969</v>
      </c>
      <c r="G174" s="98">
        <v>188</v>
      </c>
      <c r="H174" s="98">
        <v>154</v>
      </c>
      <c r="J174" s="42"/>
      <c r="K174" s="42"/>
    </row>
    <row r="175" spans="1:15" x14ac:dyDescent="0.2">
      <c r="A175" s="26" t="s">
        <v>222</v>
      </c>
      <c r="B175" s="98">
        <v>71240</v>
      </c>
      <c r="C175" s="98">
        <v>4350</v>
      </c>
      <c r="D175" s="98">
        <v>2713</v>
      </c>
      <c r="E175" s="98">
        <v>1382</v>
      </c>
      <c r="F175" s="98">
        <v>2024</v>
      </c>
      <c r="G175" s="98">
        <v>190</v>
      </c>
      <c r="H175" s="98">
        <v>172</v>
      </c>
      <c r="J175" s="42"/>
      <c r="K175" s="42"/>
    </row>
    <row r="176" spans="1:15" x14ac:dyDescent="0.2">
      <c r="A176" s="21" t="s">
        <v>167</v>
      </c>
      <c r="B176" s="181"/>
      <c r="C176" s="181"/>
      <c r="D176" s="42"/>
      <c r="E176" s="42"/>
      <c r="F176" s="42"/>
      <c r="G176" s="42"/>
      <c r="H176" s="42"/>
    </row>
    <row r="177" spans="1:20" x14ac:dyDescent="0.2">
      <c r="A177" s="34" t="s">
        <v>165</v>
      </c>
      <c r="B177" s="98">
        <v>52303</v>
      </c>
      <c r="C177" s="98">
        <v>21427</v>
      </c>
      <c r="D177" s="42">
        <v>3344</v>
      </c>
      <c r="E177" s="42">
        <v>5420</v>
      </c>
      <c r="F177" s="42">
        <v>13308</v>
      </c>
      <c r="G177" s="42">
        <v>4524</v>
      </c>
      <c r="H177" s="42">
        <v>5193</v>
      </c>
      <c r="J177" s="42"/>
      <c r="K177" s="42"/>
    </row>
    <row r="178" spans="1:20" x14ac:dyDescent="0.2">
      <c r="A178" s="34" t="s">
        <v>166</v>
      </c>
      <c r="B178" s="98">
        <v>53200</v>
      </c>
      <c r="C178" s="98">
        <v>20931</v>
      </c>
      <c r="D178" s="42">
        <v>3231</v>
      </c>
      <c r="E178" s="42">
        <v>5418</v>
      </c>
      <c r="F178" s="42">
        <v>13198</v>
      </c>
      <c r="G178" s="42">
        <v>4375</v>
      </c>
      <c r="H178" s="42">
        <v>5093</v>
      </c>
      <c r="J178" s="42"/>
      <c r="K178" s="42"/>
    </row>
    <row r="179" spans="1:20" x14ac:dyDescent="0.2">
      <c r="A179" s="34" t="s">
        <v>168</v>
      </c>
      <c r="B179" s="98">
        <v>53847</v>
      </c>
      <c r="C179" s="98">
        <v>20920</v>
      </c>
      <c r="D179" s="42">
        <v>3196</v>
      </c>
      <c r="E179" s="42">
        <v>5264</v>
      </c>
      <c r="F179" s="42">
        <v>13189</v>
      </c>
      <c r="G179" s="42">
        <v>4257</v>
      </c>
      <c r="H179" s="42">
        <v>4994</v>
      </c>
      <c r="J179" s="42"/>
      <c r="K179" s="42"/>
    </row>
    <row r="180" spans="1:20" x14ac:dyDescent="0.2">
      <c r="A180" s="34" t="s">
        <v>195</v>
      </c>
      <c r="B180" s="98">
        <v>54224</v>
      </c>
      <c r="C180" s="98">
        <v>20634</v>
      </c>
      <c r="D180" s="42">
        <v>3111</v>
      </c>
      <c r="E180" s="42">
        <v>5172</v>
      </c>
      <c r="F180" s="42">
        <v>13116</v>
      </c>
      <c r="G180" s="42">
        <v>4150</v>
      </c>
      <c r="H180" s="42">
        <v>4944</v>
      </c>
      <c r="J180" s="42"/>
      <c r="K180" s="42"/>
    </row>
    <row r="181" spans="1:20" x14ac:dyDescent="0.2">
      <c r="A181" s="34" t="s">
        <v>196</v>
      </c>
      <c r="B181" s="98">
        <v>55565</v>
      </c>
      <c r="C181" s="98">
        <v>20418</v>
      </c>
      <c r="D181" s="42">
        <v>3078</v>
      </c>
      <c r="E181" s="42">
        <v>5119</v>
      </c>
      <c r="F181" s="42">
        <v>13113</v>
      </c>
      <c r="G181" s="42">
        <v>3994</v>
      </c>
      <c r="H181" s="42">
        <v>4927</v>
      </c>
      <c r="J181" s="42"/>
      <c r="K181" s="42"/>
    </row>
    <row r="182" spans="1:20" x14ac:dyDescent="0.2">
      <c r="A182" s="34" t="s">
        <v>210</v>
      </c>
      <c r="B182" s="98">
        <v>56955</v>
      </c>
      <c r="C182" s="98">
        <v>20137</v>
      </c>
      <c r="D182" s="98">
        <v>2966</v>
      </c>
      <c r="E182" s="98">
        <v>5023</v>
      </c>
      <c r="F182" s="98">
        <v>13194</v>
      </c>
      <c r="G182" s="98">
        <v>3896</v>
      </c>
      <c r="H182" s="98">
        <v>4894</v>
      </c>
      <c r="J182" s="42"/>
      <c r="K182" s="42"/>
    </row>
    <row r="183" spans="1:20" x14ac:dyDescent="0.2">
      <c r="A183" s="26" t="s">
        <v>222</v>
      </c>
      <c r="B183" s="98">
        <v>58986</v>
      </c>
      <c r="C183" s="98">
        <v>20079</v>
      </c>
      <c r="D183" s="98">
        <v>2953</v>
      </c>
      <c r="E183" s="98">
        <v>5034</v>
      </c>
      <c r="F183" s="98">
        <v>13448</v>
      </c>
      <c r="G183" s="98">
        <v>3839</v>
      </c>
      <c r="H183" s="98">
        <v>4946</v>
      </c>
      <c r="J183" s="42"/>
      <c r="K183" s="42"/>
    </row>
    <row r="184" spans="1:20" x14ac:dyDescent="0.2">
      <c r="A184" s="21" t="s">
        <v>7</v>
      </c>
      <c r="B184" s="181"/>
      <c r="C184" s="181"/>
      <c r="D184" s="42"/>
      <c r="E184" s="42"/>
      <c r="F184" s="42"/>
      <c r="G184" s="42"/>
      <c r="H184" s="42"/>
    </row>
    <row r="185" spans="1:20" x14ac:dyDescent="0.2">
      <c r="A185" s="34" t="s">
        <v>165</v>
      </c>
      <c r="B185" s="98">
        <v>117679</v>
      </c>
      <c r="C185" s="98">
        <v>26014</v>
      </c>
      <c r="D185" s="42">
        <v>6460</v>
      </c>
      <c r="E185" s="42">
        <v>6811</v>
      </c>
      <c r="F185" s="42">
        <v>15226</v>
      </c>
      <c r="G185" s="42">
        <v>4739</v>
      </c>
      <c r="H185" s="42">
        <v>5347</v>
      </c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</row>
    <row r="186" spans="1:20" x14ac:dyDescent="0.2">
      <c r="A186" s="34" t="s">
        <v>166</v>
      </c>
      <c r="B186" s="98">
        <v>119683</v>
      </c>
      <c r="C186" s="98">
        <v>25461</v>
      </c>
      <c r="D186" s="42">
        <v>6277</v>
      </c>
      <c r="E186" s="42">
        <v>6770</v>
      </c>
      <c r="F186" s="42">
        <v>15082</v>
      </c>
      <c r="G186" s="42">
        <v>4587</v>
      </c>
      <c r="H186" s="42">
        <v>5247</v>
      </c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</row>
    <row r="187" spans="1:20" x14ac:dyDescent="0.2">
      <c r="A187" s="34" t="s">
        <v>168</v>
      </c>
      <c r="B187" s="98">
        <v>121556</v>
      </c>
      <c r="C187" s="98">
        <v>25421</v>
      </c>
      <c r="D187" s="42">
        <v>6191</v>
      </c>
      <c r="E187" s="42">
        <v>6609</v>
      </c>
      <c r="F187" s="42">
        <v>15087</v>
      </c>
      <c r="G187" s="42">
        <v>4465</v>
      </c>
      <c r="H187" s="42">
        <v>5144</v>
      </c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</row>
    <row r="188" spans="1:20" x14ac:dyDescent="0.2">
      <c r="A188" s="34" t="s">
        <v>195</v>
      </c>
      <c r="B188" s="98">
        <v>121915</v>
      </c>
      <c r="C188" s="98">
        <v>25080</v>
      </c>
      <c r="D188" s="42">
        <v>5962</v>
      </c>
      <c r="E188" s="42">
        <v>6513</v>
      </c>
      <c r="F188" s="42">
        <v>15011</v>
      </c>
      <c r="G188" s="42">
        <v>4346</v>
      </c>
      <c r="H188" s="42">
        <v>5094</v>
      </c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</row>
    <row r="189" spans="1:20" x14ac:dyDescent="0.2">
      <c r="A189" s="34" t="s">
        <v>196</v>
      </c>
      <c r="B189" s="98">
        <v>124483</v>
      </c>
      <c r="C189" s="98">
        <v>24791</v>
      </c>
      <c r="D189" s="42">
        <v>5914</v>
      </c>
      <c r="E189" s="42">
        <v>6435</v>
      </c>
      <c r="F189" s="42">
        <v>15030</v>
      </c>
      <c r="G189" s="42">
        <v>4182</v>
      </c>
      <c r="H189" s="42">
        <v>5079</v>
      </c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</row>
    <row r="190" spans="1:20" x14ac:dyDescent="0.2">
      <c r="A190" s="34" t="s">
        <v>210</v>
      </c>
      <c r="B190" s="98">
        <v>126809</v>
      </c>
      <c r="C190" s="98">
        <v>24463</v>
      </c>
      <c r="D190" s="98">
        <v>5747</v>
      </c>
      <c r="E190" s="98">
        <v>6346</v>
      </c>
      <c r="F190" s="98">
        <v>15163</v>
      </c>
      <c r="G190" s="98">
        <v>4084</v>
      </c>
      <c r="H190" s="98">
        <v>5048</v>
      </c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</row>
    <row r="191" spans="1:20" x14ac:dyDescent="0.2">
      <c r="A191" s="30" t="s">
        <v>222</v>
      </c>
      <c r="B191" s="176">
        <v>130240</v>
      </c>
      <c r="C191" s="176">
        <v>24432</v>
      </c>
      <c r="D191" s="176">
        <v>5666</v>
      </c>
      <c r="E191" s="176">
        <v>6416</v>
      </c>
      <c r="F191" s="176">
        <v>15478</v>
      </c>
      <c r="G191" s="176">
        <v>4029</v>
      </c>
      <c r="H191" s="176">
        <v>5118</v>
      </c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</row>
    <row r="192" spans="1:20" x14ac:dyDescent="0.2">
      <c r="A192" s="34" t="s">
        <v>307</v>
      </c>
      <c r="B192" s="34"/>
      <c r="C192" s="34"/>
    </row>
    <row r="193" spans="1:8" x14ac:dyDescent="0.2">
      <c r="A193" s="34" t="s">
        <v>212</v>
      </c>
      <c r="B193" s="34"/>
      <c r="C193" s="34"/>
    </row>
    <row r="194" spans="1:8" x14ac:dyDescent="0.2">
      <c r="A194" s="48" t="s">
        <v>240</v>
      </c>
      <c r="B194" s="48"/>
      <c r="C194" s="48"/>
    </row>
    <row r="197" spans="1:8" x14ac:dyDescent="0.2">
      <c r="A197" s="8" t="s">
        <v>282</v>
      </c>
      <c r="B197" s="8"/>
      <c r="C197" s="8"/>
    </row>
    <row r="198" spans="1:8" x14ac:dyDescent="0.2">
      <c r="A198" s="210" t="s">
        <v>154</v>
      </c>
      <c r="B198" s="161"/>
      <c r="C198" s="161"/>
      <c r="D198" s="212" t="s">
        <v>169</v>
      </c>
      <c r="E198" s="212"/>
      <c r="F198" s="212"/>
      <c r="G198" s="212"/>
      <c r="H198" s="212"/>
    </row>
    <row r="199" spans="1:8" ht="25.5" x14ac:dyDescent="0.2">
      <c r="A199" s="211"/>
      <c r="B199" s="183" t="s">
        <v>170</v>
      </c>
      <c r="C199" s="183" t="s">
        <v>171</v>
      </c>
      <c r="D199" s="40" t="s">
        <v>172</v>
      </c>
      <c r="E199" s="40" t="s">
        <v>173</v>
      </c>
      <c r="F199" s="40" t="s">
        <v>174</v>
      </c>
      <c r="G199" s="40" t="s">
        <v>175</v>
      </c>
      <c r="H199" s="40" t="s">
        <v>176</v>
      </c>
    </row>
    <row r="200" spans="1:8" x14ac:dyDescent="0.2">
      <c r="A200" s="20" t="s">
        <v>197</v>
      </c>
      <c r="B200" s="20"/>
      <c r="C200" s="20"/>
      <c r="D200" s="41"/>
      <c r="E200" s="41"/>
      <c r="F200" s="41"/>
      <c r="G200" s="41"/>
      <c r="H200" s="41"/>
    </row>
    <row r="201" spans="1:8" x14ac:dyDescent="0.2">
      <c r="A201" s="34" t="s">
        <v>166</v>
      </c>
      <c r="B201" s="98">
        <v>165451</v>
      </c>
      <c r="C201" s="98">
        <v>5807</v>
      </c>
      <c r="D201" s="98">
        <v>757</v>
      </c>
      <c r="E201" s="98">
        <v>712</v>
      </c>
      <c r="F201" s="98">
        <v>584</v>
      </c>
      <c r="G201" s="98">
        <v>48</v>
      </c>
      <c r="H201" s="98">
        <v>5</v>
      </c>
    </row>
    <row r="202" spans="1:8" x14ac:dyDescent="0.2">
      <c r="A202" s="34" t="s">
        <v>168</v>
      </c>
      <c r="B202" s="98">
        <v>168841</v>
      </c>
      <c r="C202" s="98">
        <v>6018</v>
      </c>
      <c r="D202" s="98">
        <v>772</v>
      </c>
      <c r="E202" s="98">
        <v>701</v>
      </c>
      <c r="F202" s="98">
        <v>584</v>
      </c>
      <c r="G202" s="98">
        <v>50</v>
      </c>
      <c r="H202" s="98">
        <v>6</v>
      </c>
    </row>
    <row r="203" spans="1:8" x14ac:dyDescent="0.2">
      <c r="A203" s="34" t="s">
        <v>195</v>
      </c>
      <c r="B203" s="98">
        <v>169897</v>
      </c>
      <c r="C203" s="98">
        <v>6005</v>
      </c>
      <c r="D203" s="98">
        <v>782</v>
      </c>
      <c r="E203" s="98">
        <v>665</v>
      </c>
      <c r="F203" s="98">
        <v>571</v>
      </c>
      <c r="G203" s="98">
        <v>46</v>
      </c>
      <c r="H203" s="98">
        <v>5</v>
      </c>
    </row>
    <row r="204" spans="1:8" x14ac:dyDescent="0.2">
      <c r="A204" s="34" t="s">
        <v>196</v>
      </c>
      <c r="B204" s="98">
        <v>172815</v>
      </c>
      <c r="C204" s="98">
        <v>6002</v>
      </c>
      <c r="D204" s="98">
        <v>830</v>
      </c>
      <c r="E204" s="98">
        <v>647</v>
      </c>
      <c r="F204" s="98">
        <v>579</v>
      </c>
      <c r="G204" s="98">
        <v>45</v>
      </c>
      <c r="H204" s="98">
        <v>7</v>
      </c>
    </row>
    <row r="205" spans="1:8" x14ac:dyDescent="0.2">
      <c r="A205" s="34" t="s">
        <v>210</v>
      </c>
      <c r="B205" s="98">
        <v>175789</v>
      </c>
      <c r="C205" s="98">
        <v>6088</v>
      </c>
      <c r="D205" s="98">
        <v>882</v>
      </c>
      <c r="E205" s="98">
        <v>606</v>
      </c>
      <c r="F205" s="98">
        <v>558</v>
      </c>
      <c r="G205" s="98">
        <v>37</v>
      </c>
      <c r="H205" s="98">
        <v>7</v>
      </c>
    </row>
    <row r="206" spans="1:8" x14ac:dyDescent="0.2">
      <c r="A206" s="26" t="s">
        <v>222</v>
      </c>
      <c r="B206" s="98">
        <v>178804</v>
      </c>
      <c r="C206" s="98">
        <v>6183</v>
      </c>
      <c r="D206" s="98">
        <v>1104</v>
      </c>
      <c r="E206" s="98">
        <v>502</v>
      </c>
      <c r="F206" s="98">
        <v>454</v>
      </c>
      <c r="G206" s="98">
        <v>29</v>
      </c>
      <c r="H206" s="98">
        <v>8</v>
      </c>
    </row>
    <row r="207" spans="1:8" x14ac:dyDescent="0.2">
      <c r="A207" s="21" t="s">
        <v>167</v>
      </c>
      <c r="B207" s="98"/>
      <c r="C207" s="98"/>
      <c r="D207" s="98"/>
      <c r="E207" s="98"/>
      <c r="F207" s="98"/>
      <c r="G207" s="98"/>
      <c r="H207" s="98"/>
    </row>
    <row r="208" spans="1:8" x14ac:dyDescent="0.2">
      <c r="A208" s="34" t="s">
        <v>166</v>
      </c>
      <c r="B208" s="98">
        <v>152733</v>
      </c>
      <c r="C208" s="98">
        <v>32445</v>
      </c>
      <c r="D208" s="98">
        <v>2623</v>
      </c>
      <c r="E208" s="98">
        <v>5944</v>
      </c>
      <c r="F208" s="98">
        <v>8644</v>
      </c>
      <c r="G208" s="98">
        <v>2553</v>
      </c>
      <c r="H208" s="98">
        <v>538</v>
      </c>
    </row>
    <row r="209" spans="1:15" x14ac:dyDescent="0.2">
      <c r="A209" s="34" t="s">
        <v>168</v>
      </c>
      <c r="B209" s="98">
        <v>156283</v>
      </c>
      <c r="C209" s="98">
        <v>33287</v>
      </c>
      <c r="D209" s="98">
        <v>2775</v>
      </c>
      <c r="E209" s="98">
        <v>5846</v>
      </c>
      <c r="F209" s="98">
        <v>8849</v>
      </c>
      <c r="G209" s="98">
        <v>2481</v>
      </c>
      <c r="H209" s="98">
        <v>615</v>
      </c>
    </row>
    <row r="210" spans="1:15" x14ac:dyDescent="0.2">
      <c r="A210" s="34" t="s">
        <v>195</v>
      </c>
      <c r="B210" s="98">
        <v>157464</v>
      </c>
      <c r="C210" s="98">
        <v>33274</v>
      </c>
      <c r="D210" s="98">
        <v>2952</v>
      </c>
      <c r="E210" s="98">
        <v>5546</v>
      </c>
      <c r="F210" s="98">
        <v>8732</v>
      </c>
      <c r="G210" s="98">
        <v>2370</v>
      </c>
      <c r="H210" s="98">
        <v>672</v>
      </c>
    </row>
    <row r="211" spans="1:15" x14ac:dyDescent="0.2">
      <c r="A211" s="34" t="s">
        <v>196</v>
      </c>
      <c r="B211" s="98">
        <v>160406</v>
      </c>
      <c r="C211" s="98">
        <v>33233</v>
      </c>
      <c r="D211" s="98">
        <v>3246</v>
      </c>
      <c r="E211" s="98">
        <v>5346</v>
      </c>
      <c r="F211" s="98">
        <v>8667</v>
      </c>
      <c r="G211" s="98">
        <v>2238</v>
      </c>
      <c r="H211" s="98">
        <v>711</v>
      </c>
    </row>
    <row r="212" spans="1:15" x14ac:dyDescent="0.2">
      <c r="A212" s="34" t="s">
        <v>210</v>
      </c>
      <c r="B212" s="98">
        <v>162781</v>
      </c>
      <c r="C212" s="98">
        <v>33642</v>
      </c>
      <c r="D212" s="98">
        <v>3851</v>
      </c>
      <c r="E212" s="98">
        <v>5067</v>
      </c>
      <c r="F212" s="98">
        <v>8385</v>
      </c>
      <c r="G212" s="98">
        <v>2076</v>
      </c>
      <c r="H212" s="98">
        <v>728</v>
      </c>
    </row>
    <row r="213" spans="1:15" x14ac:dyDescent="0.2">
      <c r="A213" s="26" t="s">
        <v>222</v>
      </c>
      <c r="B213" s="98">
        <v>165424</v>
      </c>
      <c r="C213" s="98">
        <v>33778</v>
      </c>
      <c r="D213" s="98">
        <v>5819</v>
      </c>
      <c r="E213" s="98">
        <v>4377</v>
      </c>
      <c r="F213" s="98">
        <v>7284</v>
      </c>
      <c r="G213" s="98">
        <v>1770</v>
      </c>
      <c r="H213" s="98">
        <v>733</v>
      </c>
    </row>
    <row r="214" spans="1:15" x14ac:dyDescent="0.2">
      <c r="A214" s="21" t="s">
        <v>7</v>
      </c>
      <c r="B214" s="98"/>
      <c r="C214" s="98"/>
      <c r="D214" s="98"/>
      <c r="E214" s="98"/>
      <c r="F214" s="98"/>
      <c r="G214" s="98"/>
      <c r="H214" s="98"/>
    </row>
    <row r="215" spans="1:15" x14ac:dyDescent="0.2">
      <c r="A215" s="34" t="s">
        <v>166</v>
      </c>
      <c r="B215" s="98">
        <v>318362</v>
      </c>
      <c r="C215" s="98">
        <v>38270</v>
      </c>
      <c r="D215" s="98">
        <v>3380</v>
      </c>
      <c r="E215" s="98">
        <v>6657</v>
      </c>
      <c r="F215" s="98">
        <v>9231</v>
      </c>
      <c r="G215" s="98">
        <v>2601</v>
      </c>
      <c r="H215" s="98">
        <v>543</v>
      </c>
      <c r="I215" s="60"/>
      <c r="J215" s="60"/>
      <c r="K215" s="60"/>
      <c r="L215" s="60"/>
      <c r="M215" s="60"/>
      <c r="N215" s="60"/>
      <c r="O215" s="60"/>
    </row>
    <row r="216" spans="1:15" x14ac:dyDescent="0.2">
      <c r="A216" s="34" t="s">
        <v>168</v>
      </c>
      <c r="B216" s="98">
        <v>325375</v>
      </c>
      <c r="C216" s="98">
        <v>39325</v>
      </c>
      <c r="D216" s="98">
        <v>3547</v>
      </c>
      <c r="E216" s="98">
        <v>6547</v>
      </c>
      <c r="F216" s="98">
        <v>9439</v>
      </c>
      <c r="G216" s="98">
        <v>2531</v>
      </c>
      <c r="H216" s="98">
        <v>621</v>
      </c>
      <c r="I216" s="60"/>
      <c r="J216" s="60"/>
      <c r="K216" s="60"/>
      <c r="L216" s="60"/>
      <c r="M216" s="60"/>
      <c r="N216" s="60"/>
      <c r="O216" s="60"/>
    </row>
    <row r="217" spans="1:15" x14ac:dyDescent="0.2">
      <c r="A217" s="34" t="s">
        <v>195</v>
      </c>
      <c r="B217" s="98">
        <v>327672</v>
      </c>
      <c r="C217" s="98">
        <v>39305</v>
      </c>
      <c r="D217" s="98">
        <v>3734</v>
      </c>
      <c r="E217" s="98">
        <v>6213</v>
      </c>
      <c r="F217" s="98">
        <v>9311</v>
      </c>
      <c r="G217" s="98">
        <v>2416</v>
      </c>
      <c r="H217" s="98">
        <v>677</v>
      </c>
      <c r="I217" s="60"/>
      <c r="J217" s="60"/>
      <c r="K217" s="60"/>
      <c r="L217" s="60"/>
      <c r="M217" s="60"/>
      <c r="N217" s="60"/>
      <c r="O217" s="60"/>
    </row>
    <row r="218" spans="1:15" x14ac:dyDescent="0.2">
      <c r="A218" s="34" t="s">
        <v>196</v>
      </c>
      <c r="B218" s="98">
        <v>333594</v>
      </c>
      <c r="C218" s="98">
        <v>39265</v>
      </c>
      <c r="D218" s="98">
        <v>4077</v>
      </c>
      <c r="E218" s="98">
        <v>5995</v>
      </c>
      <c r="F218" s="98">
        <v>9254</v>
      </c>
      <c r="G218" s="98">
        <v>2283</v>
      </c>
      <c r="H218" s="98">
        <v>718</v>
      </c>
      <c r="I218" s="60"/>
      <c r="J218" s="60"/>
      <c r="K218" s="60"/>
      <c r="L218" s="60"/>
      <c r="M218" s="60"/>
      <c r="N218" s="60"/>
      <c r="O218" s="60"/>
    </row>
    <row r="219" spans="1:15" x14ac:dyDescent="0.2">
      <c r="A219" s="34" t="s">
        <v>210</v>
      </c>
      <c r="B219" s="98">
        <v>338997</v>
      </c>
      <c r="C219" s="98">
        <v>39767</v>
      </c>
      <c r="D219" s="98">
        <v>4737</v>
      </c>
      <c r="E219" s="98">
        <v>5675</v>
      </c>
      <c r="F219" s="98">
        <v>8948</v>
      </c>
      <c r="G219" s="98">
        <v>2114</v>
      </c>
      <c r="H219" s="98">
        <v>735</v>
      </c>
      <c r="I219" s="60"/>
      <c r="J219" s="60"/>
      <c r="K219" s="60"/>
      <c r="L219" s="60"/>
      <c r="M219" s="60"/>
      <c r="N219" s="60"/>
      <c r="O219" s="60"/>
    </row>
    <row r="220" spans="1:15" x14ac:dyDescent="0.2">
      <c r="A220" s="30" t="s">
        <v>222</v>
      </c>
      <c r="B220" s="176">
        <v>344707</v>
      </c>
      <c r="C220" s="176">
        <v>40001</v>
      </c>
      <c r="D220" s="176">
        <v>6928</v>
      </c>
      <c r="E220" s="176">
        <v>4883</v>
      </c>
      <c r="F220" s="176">
        <v>7741</v>
      </c>
      <c r="G220" s="176">
        <v>1800</v>
      </c>
      <c r="H220" s="176">
        <v>741</v>
      </c>
      <c r="I220" s="60"/>
      <c r="J220" s="60"/>
      <c r="K220" s="60"/>
      <c r="L220" s="60"/>
      <c r="M220" s="60"/>
      <c r="N220" s="60"/>
      <c r="O220" s="60"/>
    </row>
    <row r="221" spans="1:15" x14ac:dyDescent="0.2">
      <c r="A221" s="34" t="s">
        <v>307</v>
      </c>
      <c r="B221" s="34"/>
      <c r="C221" s="34"/>
    </row>
    <row r="222" spans="1:15" x14ac:dyDescent="0.2">
      <c r="A222" s="34" t="s">
        <v>213</v>
      </c>
      <c r="B222" s="34"/>
      <c r="C222" s="34"/>
    </row>
    <row r="223" spans="1:15" x14ac:dyDescent="0.2">
      <c r="A223" s="21" t="s">
        <v>239</v>
      </c>
      <c r="B223" s="21"/>
      <c r="C223" s="21"/>
    </row>
    <row r="226" spans="1:18" x14ac:dyDescent="0.2">
      <c r="A226" s="27" t="s">
        <v>283</v>
      </c>
    </row>
    <row r="227" spans="1:18" x14ac:dyDescent="0.2">
      <c r="A227" s="210" t="s">
        <v>154</v>
      </c>
      <c r="B227" s="161"/>
      <c r="C227" s="161"/>
      <c r="D227" s="212" t="s">
        <v>169</v>
      </c>
      <c r="E227" s="212"/>
      <c r="F227" s="212"/>
      <c r="G227" s="212"/>
      <c r="H227" s="212"/>
    </row>
    <row r="228" spans="1:18" ht="25.5" x14ac:dyDescent="0.2">
      <c r="A228" s="211"/>
      <c r="B228" s="183" t="s">
        <v>170</v>
      </c>
      <c r="C228" s="183" t="s">
        <v>171</v>
      </c>
      <c r="D228" s="40" t="s">
        <v>172</v>
      </c>
      <c r="E228" s="40" t="s">
        <v>173</v>
      </c>
      <c r="F228" s="40" t="s">
        <v>174</v>
      </c>
      <c r="G228" s="40" t="s">
        <v>175</v>
      </c>
      <c r="H228" s="40" t="s">
        <v>176</v>
      </c>
    </row>
    <row r="229" spans="1:18" x14ac:dyDescent="0.2">
      <c r="A229" s="20" t="s">
        <v>197</v>
      </c>
      <c r="B229" s="20"/>
      <c r="C229" s="20"/>
      <c r="D229" s="41"/>
      <c r="E229" s="41"/>
      <c r="F229" s="41"/>
      <c r="G229" s="41"/>
      <c r="H229" s="41"/>
    </row>
    <row r="230" spans="1:18" x14ac:dyDescent="0.2">
      <c r="A230" s="34" t="s">
        <v>195</v>
      </c>
      <c r="B230" s="98">
        <v>9073476</v>
      </c>
      <c r="C230" s="98">
        <v>353756</v>
      </c>
      <c r="D230" s="98">
        <v>76080</v>
      </c>
      <c r="E230" s="98">
        <v>55513</v>
      </c>
      <c r="F230" s="98">
        <v>85364</v>
      </c>
      <c r="G230" s="98">
        <v>10284</v>
      </c>
      <c r="H230" s="98">
        <v>4203</v>
      </c>
    </row>
    <row r="231" spans="1:18" x14ac:dyDescent="0.2">
      <c r="A231" s="34" t="s">
        <v>196</v>
      </c>
      <c r="B231" s="98">
        <v>9170700</v>
      </c>
      <c r="C231" s="98">
        <v>356403</v>
      </c>
      <c r="D231" s="98">
        <v>76923</v>
      </c>
      <c r="E231" s="98">
        <v>56818</v>
      </c>
      <c r="F231" s="98">
        <v>88175</v>
      </c>
      <c r="G231" s="98">
        <v>10377</v>
      </c>
      <c r="H231" s="98">
        <v>4510</v>
      </c>
    </row>
    <row r="232" spans="1:18" x14ac:dyDescent="0.2">
      <c r="A232" s="34" t="s">
        <v>210</v>
      </c>
      <c r="B232" s="98">
        <v>9384653</v>
      </c>
      <c r="C232" s="98">
        <v>361468</v>
      </c>
      <c r="D232" s="98">
        <v>77535</v>
      </c>
      <c r="E232" s="98">
        <v>58046</v>
      </c>
      <c r="F232" s="98">
        <v>91656</v>
      </c>
      <c r="G232" s="98">
        <v>10476</v>
      </c>
      <c r="H232" s="98">
        <v>4836</v>
      </c>
    </row>
    <row r="233" spans="1:18" x14ac:dyDescent="0.2">
      <c r="A233" s="26" t="s">
        <v>222</v>
      </c>
      <c r="B233" s="98">
        <v>9628120</v>
      </c>
      <c r="C233" s="98">
        <v>368685</v>
      </c>
      <c r="D233" s="98">
        <v>78042</v>
      </c>
      <c r="E233" s="98">
        <v>58842</v>
      </c>
      <c r="F233" s="98">
        <v>94619</v>
      </c>
      <c r="G233" s="98">
        <v>10530</v>
      </c>
      <c r="H233" s="98">
        <v>5095</v>
      </c>
    </row>
    <row r="234" spans="1:18" x14ac:dyDescent="0.2">
      <c r="A234" s="21" t="s">
        <v>167</v>
      </c>
      <c r="B234" s="98"/>
      <c r="C234" s="98"/>
      <c r="D234" s="98"/>
      <c r="E234" s="98"/>
      <c r="F234" s="98"/>
      <c r="G234" s="98"/>
      <c r="H234" s="98"/>
    </row>
    <row r="235" spans="1:18" x14ac:dyDescent="0.2">
      <c r="A235" s="34" t="s">
        <v>195</v>
      </c>
      <c r="B235" s="98">
        <v>7586896</v>
      </c>
      <c r="C235" s="98">
        <v>2073433</v>
      </c>
      <c r="D235" s="98">
        <v>202242</v>
      </c>
      <c r="E235" s="98">
        <v>396734</v>
      </c>
      <c r="F235" s="98">
        <v>894872</v>
      </c>
      <c r="G235" s="98">
        <v>386654</v>
      </c>
      <c r="H235" s="98">
        <v>199387</v>
      </c>
    </row>
    <row r="236" spans="1:18" x14ac:dyDescent="0.2">
      <c r="A236" s="34" t="s">
        <v>196</v>
      </c>
      <c r="B236" s="98">
        <v>7692880</v>
      </c>
      <c r="C236" s="98">
        <v>2080553</v>
      </c>
      <c r="D236" s="98">
        <v>204207</v>
      </c>
      <c r="E236" s="98">
        <v>396818</v>
      </c>
      <c r="F236" s="98">
        <v>908362</v>
      </c>
      <c r="G236" s="98">
        <v>380289</v>
      </c>
      <c r="H236" s="98">
        <v>206971</v>
      </c>
    </row>
    <row r="237" spans="1:18" x14ac:dyDescent="0.2">
      <c r="A237" s="34" t="s">
        <v>210</v>
      </c>
      <c r="B237" s="98">
        <v>7929498</v>
      </c>
      <c r="C237" s="98">
        <v>2101392</v>
      </c>
      <c r="D237" s="98">
        <v>205666</v>
      </c>
      <c r="E237" s="98">
        <v>397184</v>
      </c>
      <c r="F237" s="98">
        <v>924448</v>
      </c>
      <c r="G237" s="98">
        <v>373784</v>
      </c>
      <c r="H237" s="98">
        <v>214902</v>
      </c>
    </row>
    <row r="238" spans="1:18" x14ac:dyDescent="0.2">
      <c r="A238" s="26" t="s">
        <v>222</v>
      </c>
      <c r="B238" s="98">
        <v>8195061</v>
      </c>
      <c r="C238" s="98">
        <v>2122436</v>
      </c>
      <c r="D238" s="98">
        <v>207071</v>
      </c>
      <c r="E238" s="98">
        <v>395275</v>
      </c>
      <c r="F238" s="98">
        <v>933927</v>
      </c>
      <c r="G238" s="98">
        <v>366793</v>
      </c>
      <c r="H238" s="98">
        <v>221174</v>
      </c>
      <c r="J238" s="60"/>
      <c r="K238" s="60"/>
      <c r="L238" s="60"/>
      <c r="M238" s="60"/>
      <c r="N238" s="60"/>
      <c r="O238" s="60"/>
      <c r="P238" s="60"/>
      <c r="Q238" s="60"/>
      <c r="R238" s="60"/>
    </row>
    <row r="239" spans="1:18" x14ac:dyDescent="0.2">
      <c r="A239" s="21" t="s">
        <v>7</v>
      </c>
      <c r="B239" s="98"/>
      <c r="C239" s="98"/>
      <c r="D239" s="98"/>
      <c r="E239" s="98"/>
      <c r="F239" s="98"/>
      <c r="G239" s="98"/>
      <c r="H239" s="98"/>
    </row>
    <row r="240" spans="1:18" x14ac:dyDescent="0.2">
      <c r="A240" s="34" t="s">
        <v>195</v>
      </c>
      <c r="B240" s="98">
        <v>16662810</v>
      </c>
      <c r="C240" s="98">
        <v>2427658</v>
      </c>
      <c r="D240" s="98">
        <v>278369</v>
      </c>
      <c r="E240" s="98">
        <v>452285</v>
      </c>
      <c r="F240" s="98">
        <v>980470</v>
      </c>
      <c r="G240" s="98">
        <v>397041</v>
      </c>
      <c r="H240" s="98">
        <v>203635</v>
      </c>
      <c r="J240" s="60"/>
      <c r="K240" s="60"/>
      <c r="L240" s="60"/>
      <c r="M240" s="60"/>
      <c r="N240" s="60"/>
      <c r="O240" s="60"/>
      <c r="P240" s="60"/>
      <c r="Q240" s="60"/>
      <c r="R240" s="60"/>
    </row>
    <row r="241" spans="1:18" x14ac:dyDescent="0.2">
      <c r="A241" s="34" t="s">
        <v>196</v>
      </c>
      <c r="B241" s="98">
        <v>16866232</v>
      </c>
      <c r="C241" s="98">
        <v>2437450</v>
      </c>
      <c r="D241" s="98">
        <v>281183</v>
      </c>
      <c r="E241" s="98">
        <v>453675</v>
      </c>
      <c r="F241" s="98">
        <v>996763</v>
      </c>
      <c r="G241" s="98">
        <v>390769</v>
      </c>
      <c r="H241" s="98">
        <v>211521</v>
      </c>
      <c r="J241" s="60"/>
      <c r="K241" s="60"/>
      <c r="L241" s="60"/>
      <c r="M241" s="60"/>
      <c r="N241" s="60"/>
      <c r="O241" s="60"/>
      <c r="P241" s="60"/>
      <c r="Q241" s="60"/>
      <c r="R241" s="60"/>
    </row>
    <row r="242" spans="1:18" x14ac:dyDescent="0.2">
      <c r="A242" s="34" t="s">
        <v>210</v>
      </c>
      <c r="B242" s="98">
        <v>17317211</v>
      </c>
      <c r="C242" s="98">
        <v>2463364</v>
      </c>
      <c r="D242" s="98">
        <v>283253</v>
      </c>
      <c r="E242" s="98">
        <v>455271</v>
      </c>
      <c r="F242" s="98">
        <v>1016326</v>
      </c>
      <c r="G242" s="98">
        <v>384357</v>
      </c>
      <c r="H242" s="98">
        <v>219780</v>
      </c>
      <c r="J242" s="60"/>
      <c r="K242" s="60"/>
      <c r="L242" s="60"/>
      <c r="M242" s="60"/>
      <c r="N242" s="60"/>
      <c r="O242" s="60"/>
      <c r="P242" s="60"/>
      <c r="Q242" s="60"/>
      <c r="R242" s="60"/>
    </row>
    <row r="243" spans="1:18" x14ac:dyDescent="0.2">
      <c r="A243" s="30" t="s">
        <v>222</v>
      </c>
      <c r="B243" s="176">
        <v>17826694</v>
      </c>
      <c r="C243" s="176">
        <v>2491635</v>
      </c>
      <c r="D243" s="176">
        <v>285164</v>
      </c>
      <c r="E243" s="176">
        <v>454160</v>
      </c>
      <c r="F243" s="176">
        <v>1028788</v>
      </c>
      <c r="G243" s="176">
        <v>377413</v>
      </c>
      <c r="H243" s="176">
        <v>226306</v>
      </c>
      <c r="J243" s="60"/>
      <c r="K243" s="60"/>
      <c r="L243" s="60"/>
      <c r="M243" s="60"/>
      <c r="N243" s="60"/>
      <c r="O243" s="60"/>
      <c r="P243" s="60"/>
      <c r="Q243" s="60"/>
      <c r="R243" s="60"/>
    </row>
    <row r="244" spans="1:18" x14ac:dyDescent="0.2">
      <c r="A244" s="34" t="s">
        <v>18</v>
      </c>
      <c r="I244" s="60"/>
      <c r="J244" s="60"/>
      <c r="K244" s="60"/>
      <c r="L244" s="60"/>
      <c r="M244" s="60"/>
      <c r="N244" s="60"/>
      <c r="O244" s="60"/>
    </row>
    <row r="245" spans="1:18" x14ac:dyDescent="0.2">
      <c r="A245" s="21" t="s">
        <v>300</v>
      </c>
      <c r="I245" s="60"/>
      <c r="J245" s="60"/>
      <c r="K245" s="60"/>
      <c r="L245" s="60"/>
      <c r="M245" s="60"/>
      <c r="N245" s="60"/>
      <c r="O245" s="60"/>
    </row>
    <row r="246" spans="1:18" x14ac:dyDescent="0.2">
      <c r="I246" s="60"/>
      <c r="J246" s="60"/>
      <c r="K246" s="60"/>
      <c r="L246" s="60"/>
      <c r="M246" s="60"/>
      <c r="N246" s="60"/>
      <c r="O246" s="60"/>
    </row>
  </sheetData>
  <mergeCells count="18">
    <mergeCell ref="A3:A4"/>
    <mergeCell ref="D3:H3"/>
    <mergeCell ref="A25:A26"/>
    <mergeCell ref="D25:H25"/>
    <mergeCell ref="A53:A54"/>
    <mergeCell ref="D53:H53"/>
    <mergeCell ref="A80:A81"/>
    <mergeCell ref="D80:H80"/>
    <mergeCell ref="A138:A139"/>
    <mergeCell ref="D138:H138"/>
    <mergeCell ref="A109:A110"/>
    <mergeCell ref="D109:H109"/>
    <mergeCell ref="A227:A228"/>
    <mergeCell ref="D227:H227"/>
    <mergeCell ref="A166:A167"/>
    <mergeCell ref="D166:H166"/>
    <mergeCell ref="A198:A199"/>
    <mergeCell ref="D198:H198"/>
  </mergeCells>
  <pageMargins left="0.7" right="0.7" top="0.75" bottom="0.75" header="0.3" footer="0.3"/>
  <pageSetup paperSize="9" orientation="portrait" r:id="rId1"/>
  <headerFooter>
    <oddHeader>&amp;C&amp;"Calibri"&amp;14&amp;KFF0000 OFFICIAL&amp;1#_x000D_</oddHeader>
    <oddFooter>&amp;C_x000D_&amp;1#&amp;"Calibri"&amp;14&amp;KFF0000 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60"/>
  <sheetViews>
    <sheetView topLeftCell="A13" workbookViewId="0">
      <selection activeCell="F13" sqref="F13"/>
    </sheetView>
  </sheetViews>
  <sheetFormatPr defaultColWidth="9.140625" defaultRowHeight="12.75" x14ac:dyDescent="0.2"/>
  <cols>
    <col min="1" max="1" width="8.7109375" style="8" customWidth="1"/>
    <col min="2" max="6" width="11.28515625" style="5" customWidth="1"/>
    <col min="7" max="7" width="17.7109375" style="5" customWidth="1"/>
    <col min="8" max="8" width="11.28515625" style="5" customWidth="1"/>
    <col min="9" max="10" width="9.140625" style="5" customWidth="1"/>
    <col min="11" max="12" width="9.140625" style="5"/>
    <col min="13" max="13" width="17.140625" style="5" customWidth="1"/>
    <col min="14" max="14" width="15.7109375" style="5" customWidth="1"/>
    <col min="15" max="15" width="15.85546875" style="5" customWidth="1"/>
    <col min="16" max="16384" width="9.140625" style="5"/>
  </cols>
  <sheetData>
    <row r="1" spans="1:13" x14ac:dyDescent="0.2">
      <c r="A1" s="4"/>
    </row>
    <row r="2" spans="1:13" ht="25.5" customHeight="1" x14ac:dyDescent="0.2">
      <c r="A2" s="214" t="s">
        <v>253</v>
      </c>
      <c r="B2" s="215"/>
      <c r="C2" s="215"/>
      <c r="D2" s="215"/>
      <c r="E2" s="215"/>
      <c r="F2" s="216"/>
      <c r="G2" s="216"/>
      <c r="H2" s="216"/>
    </row>
    <row r="3" spans="1:13" ht="51" x14ac:dyDescent="0.2">
      <c r="A3" s="152" t="s">
        <v>38</v>
      </c>
      <c r="B3" s="151" t="s">
        <v>20</v>
      </c>
      <c r="C3" s="151" t="s">
        <v>34</v>
      </c>
      <c r="D3" s="151" t="s">
        <v>33</v>
      </c>
      <c r="E3" s="151" t="s">
        <v>23</v>
      </c>
      <c r="F3" s="151" t="s">
        <v>24</v>
      </c>
      <c r="G3" s="151" t="s">
        <v>296</v>
      </c>
      <c r="H3" s="151" t="s">
        <v>180</v>
      </c>
    </row>
    <row r="4" spans="1:13" x14ac:dyDescent="0.2">
      <c r="A4" s="6"/>
      <c r="B4" s="200" t="s">
        <v>181</v>
      </c>
      <c r="C4" s="200"/>
      <c r="D4" s="200"/>
      <c r="E4" s="200"/>
      <c r="F4" s="200"/>
      <c r="G4" s="200"/>
      <c r="H4" s="200"/>
      <c r="J4" s="23"/>
    </row>
    <row r="5" spans="1:13" x14ac:dyDescent="0.2">
      <c r="A5" s="26" t="s">
        <v>74</v>
      </c>
      <c r="B5" s="145">
        <v>60.2</v>
      </c>
      <c r="C5" s="145">
        <v>56.925000000000004</v>
      </c>
      <c r="D5" s="145">
        <v>56.45</v>
      </c>
      <c r="E5" s="145">
        <v>56.275000000000006</v>
      </c>
      <c r="F5" s="145">
        <v>59.174999999999997</v>
      </c>
      <c r="G5" s="145"/>
      <c r="H5" s="145">
        <v>58.075000000000003</v>
      </c>
      <c r="I5" s="89"/>
      <c r="J5" s="90"/>
    </row>
    <row r="6" spans="1:13" x14ac:dyDescent="0.2">
      <c r="A6" s="26" t="s">
        <v>75</v>
      </c>
      <c r="B6" s="145">
        <v>62</v>
      </c>
      <c r="C6" s="145">
        <v>59.25</v>
      </c>
      <c r="D6" s="145">
        <v>58.65</v>
      </c>
      <c r="E6" s="145">
        <v>58.324999999999996</v>
      </c>
      <c r="F6" s="145">
        <v>61.95</v>
      </c>
      <c r="G6" s="145"/>
      <c r="H6" s="145">
        <v>60.224999999999994</v>
      </c>
      <c r="I6" s="89"/>
      <c r="J6" s="90"/>
    </row>
    <row r="7" spans="1:13" x14ac:dyDescent="0.2">
      <c r="A7" s="26" t="s">
        <v>76</v>
      </c>
      <c r="B7" s="145">
        <v>63.824999999999996</v>
      </c>
      <c r="C7" s="145">
        <v>62.349999999999994</v>
      </c>
      <c r="D7" s="145">
        <v>60.774999999999999</v>
      </c>
      <c r="E7" s="145">
        <v>61.774999999999999</v>
      </c>
      <c r="F7" s="145">
        <v>64.824999999999989</v>
      </c>
      <c r="G7" s="145">
        <v>64.505601748275993</v>
      </c>
      <c r="H7" s="145">
        <v>62.625</v>
      </c>
      <c r="I7" s="89"/>
      <c r="J7" s="90"/>
      <c r="L7" s="89"/>
      <c r="M7" s="90"/>
    </row>
    <row r="8" spans="1:13" x14ac:dyDescent="0.2">
      <c r="A8" s="26" t="s">
        <v>77</v>
      </c>
      <c r="B8" s="145">
        <v>64.775000000000006</v>
      </c>
      <c r="C8" s="145">
        <v>64.474999999999994</v>
      </c>
      <c r="D8" s="145">
        <v>60.925000000000004</v>
      </c>
      <c r="E8" s="145">
        <v>62.9</v>
      </c>
      <c r="F8" s="145">
        <v>66.025000000000006</v>
      </c>
      <c r="G8" s="145">
        <v>64.871748646521212</v>
      </c>
      <c r="H8" s="145">
        <v>63.699999999999996</v>
      </c>
      <c r="I8" s="89"/>
      <c r="J8" s="90"/>
      <c r="L8" s="89"/>
      <c r="M8" s="90"/>
    </row>
    <row r="9" spans="1:13" x14ac:dyDescent="0.2">
      <c r="A9" s="26" t="s">
        <v>78</v>
      </c>
      <c r="B9" s="145">
        <v>69.05</v>
      </c>
      <c r="C9" s="145">
        <v>68.275000000000006</v>
      </c>
      <c r="D9" s="145">
        <v>64.625</v>
      </c>
      <c r="E9" s="145">
        <v>65.699999999999989</v>
      </c>
      <c r="F9" s="145">
        <v>68.375</v>
      </c>
      <c r="G9" s="145">
        <v>67.805789996085878</v>
      </c>
      <c r="H9" s="145">
        <v>67.400000000000006</v>
      </c>
      <c r="I9" s="89"/>
      <c r="J9" s="90"/>
    </row>
    <row r="10" spans="1:13" x14ac:dyDescent="0.2">
      <c r="A10" s="26" t="s">
        <v>79</v>
      </c>
      <c r="B10" s="145">
        <v>71.95</v>
      </c>
      <c r="C10" s="145">
        <v>71.125</v>
      </c>
      <c r="D10" s="145">
        <v>68.074999999999989</v>
      </c>
      <c r="E10" s="145">
        <v>67.275000000000006</v>
      </c>
      <c r="F10" s="145">
        <v>69.875</v>
      </c>
      <c r="G10" s="145">
        <v>71.413468811390743</v>
      </c>
      <c r="H10" s="145">
        <v>70.125</v>
      </c>
      <c r="I10" s="89"/>
      <c r="J10" s="90"/>
    </row>
    <row r="11" spans="1:13" x14ac:dyDescent="0.2">
      <c r="A11" s="26" t="s">
        <v>80</v>
      </c>
      <c r="B11" s="145">
        <v>75.175000000000011</v>
      </c>
      <c r="C11" s="145">
        <v>72.174999999999997</v>
      </c>
      <c r="D11" s="145">
        <v>72.099999999999994</v>
      </c>
      <c r="E11" s="145">
        <v>70.225000000000009</v>
      </c>
      <c r="F11" s="145">
        <v>73.150000000000006</v>
      </c>
      <c r="G11" s="145">
        <v>75.734024647228068</v>
      </c>
      <c r="H11" s="145">
        <v>73.025000000000006</v>
      </c>
      <c r="I11" s="89"/>
      <c r="J11" s="90"/>
    </row>
    <row r="12" spans="1:13" x14ac:dyDescent="0.2">
      <c r="A12" s="26" t="s">
        <v>81</v>
      </c>
      <c r="B12" s="145">
        <v>78.800000000000011</v>
      </c>
      <c r="C12" s="145">
        <v>75.375</v>
      </c>
      <c r="D12" s="145">
        <v>77.5</v>
      </c>
      <c r="E12" s="145">
        <v>74.5</v>
      </c>
      <c r="F12" s="145">
        <v>79.25</v>
      </c>
      <c r="G12" s="145">
        <v>79.29857843416066</v>
      </c>
      <c r="H12" s="145">
        <v>77.375</v>
      </c>
      <c r="I12" s="89"/>
      <c r="J12" s="90"/>
    </row>
    <row r="13" spans="1:13" x14ac:dyDescent="0.2">
      <c r="A13" s="26" t="s">
        <v>82</v>
      </c>
      <c r="B13" s="145">
        <v>82.424999999999997</v>
      </c>
      <c r="C13" s="145">
        <v>78.724999999999994</v>
      </c>
      <c r="D13" s="145">
        <v>82.375</v>
      </c>
      <c r="E13" s="145">
        <v>77.724999999999994</v>
      </c>
      <c r="F13" s="145">
        <v>83.825000000000003</v>
      </c>
      <c r="G13" s="145">
        <v>81.78140782972153</v>
      </c>
      <c r="H13" s="145">
        <v>81.25</v>
      </c>
      <c r="I13" s="89"/>
      <c r="J13" s="90"/>
    </row>
    <row r="14" spans="1:13" x14ac:dyDescent="0.2">
      <c r="A14" s="26" t="s">
        <v>83</v>
      </c>
      <c r="B14" s="145">
        <v>86.125</v>
      </c>
      <c r="C14" s="145">
        <v>82.350000000000009</v>
      </c>
      <c r="D14" s="145">
        <v>88.4</v>
      </c>
      <c r="E14" s="145">
        <v>81.7</v>
      </c>
      <c r="F14" s="145">
        <v>89.45</v>
      </c>
      <c r="G14" s="145">
        <v>86.659128284535285</v>
      </c>
      <c r="H14" s="145">
        <v>85.674999999999997</v>
      </c>
      <c r="I14" s="89"/>
      <c r="J14" s="90"/>
    </row>
    <row r="15" spans="1:13" x14ac:dyDescent="0.2">
      <c r="A15" s="26" t="s">
        <v>84</v>
      </c>
      <c r="B15" s="145">
        <v>89.575000000000003</v>
      </c>
      <c r="C15" s="145">
        <v>87.850000000000009</v>
      </c>
      <c r="D15" s="145">
        <v>96.575000000000003</v>
      </c>
      <c r="E15" s="145">
        <v>89.425000000000011</v>
      </c>
      <c r="F15" s="145">
        <v>94.375</v>
      </c>
      <c r="G15" s="145">
        <v>94.529113732808213</v>
      </c>
      <c r="H15" s="145">
        <v>91.149999999999991</v>
      </c>
      <c r="I15" s="89"/>
      <c r="J15" s="90"/>
    </row>
    <row r="16" spans="1:13" x14ac:dyDescent="0.2">
      <c r="A16" s="26" t="s">
        <v>85</v>
      </c>
      <c r="B16" s="145">
        <v>91.9</v>
      </c>
      <c r="C16" s="145">
        <v>89.5</v>
      </c>
      <c r="D16" s="145">
        <v>96.050000000000011</v>
      </c>
      <c r="E16" s="145">
        <v>92.65</v>
      </c>
      <c r="F16" s="145">
        <v>93.75</v>
      </c>
      <c r="G16" s="145">
        <v>92.999611305430463</v>
      </c>
      <c r="H16" s="145">
        <v>92.399999999999991</v>
      </c>
      <c r="I16" s="89"/>
      <c r="J16" s="90"/>
    </row>
    <row r="17" spans="1:13" x14ac:dyDescent="0.2">
      <c r="A17" s="26" t="s">
        <v>86</v>
      </c>
      <c r="B17" s="145">
        <v>94.3</v>
      </c>
      <c r="C17" s="145">
        <v>93.924999999999997</v>
      </c>
      <c r="D17" s="145">
        <v>98.2</v>
      </c>
      <c r="E17" s="145">
        <v>95.65</v>
      </c>
      <c r="F17" s="145">
        <v>95.275000000000006</v>
      </c>
      <c r="G17" s="145">
        <v>95.396588590110056</v>
      </c>
      <c r="H17" s="145">
        <v>95.2</v>
      </c>
      <c r="I17" s="89"/>
      <c r="J17" s="90"/>
    </row>
    <row r="18" spans="1:13" x14ac:dyDescent="0.2">
      <c r="A18" s="26" t="s">
        <v>87</v>
      </c>
      <c r="B18" s="145">
        <v>100.02499999999999</v>
      </c>
      <c r="C18" s="145">
        <v>100.02500000000001</v>
      </c>
      <c r="D18" s="145">
        <v>100</v>
      </c>
      <c r="E18" s="145">
        <v>100</v>
      </c>
      <c r="F18" s="145">
        <v>99.974999999999994</v>
      </c>
      <c r="G18" s="145">
        <v>99.999121826356671</v>
      </c>
      <c r="H18" s="145">
        <v>100</v>
      </c>
      <c r="I18" s="89"/>
      <c r="J18" s="90"/>
    </row>
    <row r="19" spans="1:13" x14ac:dyDescent="0.2">
      <c r="A19" s="26" t="s">
        <v>27</v>
      </c>
      <c r="B19" s="145">
        <v>103.575</v>
      </c>
      <c r="C19" s="145">
        <v>103.825</v>
      </c>
      <c r="D19" s="145">
        <v>103.85</v>
      </c>
      <c r="E19" s="145">
        <v>103.35</v>
      </c>
      <c r="F19" s="145">
        <v>103.05</v>
      </c>
      <c r="G19" s="145">
        <v>101.31943876435939</v>
      </c>
      <c r="H19" s="145">
        <v>102.125</v>
      </c>
      <c r="I19" s="89"/>
      <c r="J19" s="90"/>
    </row>
    <row r="20" spans="1:13" x14ac:dyDescent="0.2">
      <c r="A20" s="26" t="s">
        <v>28</v>
      </c>
      <c r="B20" s="145">
        <v>106.72499999999999</v>
      </c>
      <c r="C20" s="145">
        <v>106.57499999999999</v>
      </c>
      <c r="D20" s="145">
        <v>106.325</v>
      </c>
      <c r="E20" s="145">
        <v>107.15</v>
      </c>
      <c r="F20" s="145">
        <v>103.875</v>
      </c>
      <c r="G20" s="145">
        <v>102.20521795968156</v>
      </c>
      <c r="H20" s="145">
        <v>105.02499999999999</v>
      </c>
      <c r="I20" s="89"/>
      <c r="J20" s="90"/>
    </row>
    <row r="21" spans="1:13" x14ac:dyDescent="0.2">
      <c r="A21" s="26" t="s">
        <v>29</v>
      </c>
      <c r="B21" s="145">
        <v>108.64999999999999</v>
      </c>
      <c r="C21" s="145">
        <v>107.25</v>
      </c>
      <c r="D21" s="145">
        <v>105.97500000000001</v>
      </c>
      <c r="E21" s="145">
        <v>109.6</v>
      </c>
      <c r="F21" s="145">
        <v>104.325</v>
      </c>
      <c r="G21" s="145">
        <v>101.46082713719699</v>
      </c>
      <c r="H21" s="145">
        <v>107.02500000000001</v>
      </c>
      <c r="I21" s="89"/>
      <c r="J21" s="90"/>
    </row>
    <row r="22" spans="1:13" x14ac:dyDescent="0.2">
      <c r="A22" s="26" t="s">
        <v>30</v>
      </c>
      <c r="B22" s="145">
        <v>109.57499999999999</v>
      </c>
      <c r="C22" s="145">
        <v>107.47499999999999</v>
      </c>
      <c r="D22" s="145">
        <v>106.39999999999999</v>
      </c>
      <c r="E22" s="145">
        <v>110.55000000000001</v>
      </c>
      <c r="F22" s="145">
        <v>103.42500000000001</v>
      </c>
      <c r="G22" s="145">
        <v>99.223888317165901</v>
      </c>
      <c r="H22" s="145">
        <v>107.54999999999998</v>
      </c>
      <c r="I22" s="89"/>
      <c r="J22" s="90"/>
    </row>
    <row r="23" spans="1:13" x14ac:dyDescent="0.2">
      <c r="A23" s="26" t="s">
        <v>31</v>
      </c>
      <c r="B23" s="145">
        <v>110.6</v>
      </c>
      <c r="C23" s="145">
        <v>104.6</v>
      </c>
      <c r="D23" s="145">
        <v>106.94999999999999</v>
      </c>
      <c r="E23" s="145">
        <v>112.74999999999999</v>
      </c>
      <c r="F23" s="145">
        <v>104.25</v>
      </c>
      <c r="G23" s="145">
        <v>99.272300470748831</v>
      </c>
      <c r="H23" s="145">
        <v>107.94999999999999</v>
      </c>
      <c r="I23" s="89"/>
      <c r="J23" s="112"/>
    </row>
    <row r="24" spans="1:13" x14ac:dyDescent="0.2">
      <c r="A24" s="26" t="s">
        <v>32</v>
      </c>
      <c r="B24" s="145">
        <v>112.95</v>
      </c>
      <c r="C24" s="145">
        <v>112.35</v>
      </c>
      <c r="D24" s="145">
        <v>111.02500000000001</v>
      </c>
      <c r="E24" s="145">
        <v>117.375</v>
      </c>
      <c r="F24" s="145">
        <v>106.02499999999999</v>
      </c>
      <c r="G24" s="145">
        <v>102.74174475447057</v>
      </c>
      <c r="H24" s="145">
        <v>110.72499999999999</v>
      </c>
      <c r="I24" s="89"/>
      <c r="J24" s="112"/>
    </row>
    <row r="25" spans="1:13" x14ac:dyDescent="0.2">
      <c r="A25" s="26" t="s">
        <v>88</v>
      </c>
      <c r="B25" s="145">
        <v>117.19999999999999</v>
      </c>
      <c r="C25" s="145">
        <v>120.325</v>
      </c>
      <c r="D25" s="145">
        <v>114.9</v>
      </c>
      <c r="E25" s="145">
        <v>121.22499999999999</v>
      </c>
      <c r="F25" s="145">
        <v>108.4</v>
      </c>
      <c r="G25" s="145">
        <v>107.48723489142408</v>
      </c>
      <c r="H25" s="145">
        <v>114.675</v>
      </c>
      <c r="I25" s="89"/>
      <c r="J25" s="90"/>
    </row>
    <row r="26" spans="1:13" x14ac:dyDescent="0.2">
      <c r="A26" s="26" t="s">
        <v>89</v>
      </c>
      <c r="B26" s="145">
        <v>118.075</v>
      </c>
      <c r="C26" s="145">
        <v>121.52500000000001</v>
      </c>
      <c r="D26" s="145">
        <v>115.575</v>
      </c>
      <c r="E26" s="145">
        <v>121.77499999999999</v>
      </c>
      <c r="F26" s="145">
        <v>109.44999999999999</v>
      </c>
      <c r="G26" s="145">
        <v>107.73515138486181</v>
      </c>
      <c r="H26" s="145">
        <v>116.97499999999999</v>
      </c>
      <c r="I26" s="89"/>
      <c r="J26" s="90"/>
    </row>
    <row r="27" spans="1:13" x14ac:dyDescent="0.2">
      <c r="A27" s="26" t="s">
        <v>90</v>
      </c>
      <c r="B27" s="145">
        <v>119.42499999999998</v>
      </c>
      <c r="C27" s="145">
        <v>120</v>
      </c>
      <c r="D27" s="145">
        <v>115.42500000000001</v>
      </c>
      <c r="E27" s="145">
        <v>122.42500000000001</v>
      </c>
      <c r="F27" s="145">
        <v>110.325</v>
      </c>
      <c r="G27" s="145">
        <v>108.38915829317455</v>
      </c>
      <c r="H27" s="145">
        <v>118.5</v>
      </c>
      <c r="I27" s="89"/>
      <c r="J27" s="90"/>
      <c r="M27" s="87"/>
    </row>
    <row r="28" spans="1:13" x14ac:dyDescent="0.2">
      <c r="A28" s="26" t="s">
        <v>183</v>
      </c>
      <c r="B28" s="145">
        <v>125.675</v>
      </c>
      <c r="C28" s="145">
        <v>127.25000000000001</v>
      </c>
      <c r="D28" s="145">
        <v>121.22499999999999</v>
      </c>
      <c r="E28" s="145">
        <v>132.72500000000002</v>
      </c>
      <c r="F28" s="145">
        <v>120.97499999999999</v>
      </c>
      <c r="G28" s="145">
        <v>118.85356785254201</v>
      </c>
      <c r="H28" s="145">
        <v>126.69999999999999</v>
      </c>
      <c r="I28" s="89"/>
      <c r="J28" s="90"/>
    </row>
    <row r="29" spans="1:13" x14ac:dyDescent="0.2">
      <c r="A29" s="26" t="s">
        <v>184</v>
      </c>
      <c r="B29" s="145">
        <v>136.375</v>
      </c>
      <c r="C29" s="145">
        <v>137.14999999999998</v>
      </c>
      <c r="D29" s="145">
        <v>133.52500000000001</v>
      </c>
      <c r="E29" s="145">
        <v>150.77500000000001</v>
      </c>
      <c r="F29" s="145">
        <v>130.375</v>
      </c>
      <c r="G29" s="145">
        <v>133.05718144905651</v>
      </c>
      <c r="H29" s="145">
        <v>136.4</v>
      </c>
      <c r="I29" s="89"/>
      <c r="J29" s="90"/>
      <c r="M29" s="87"/>
    </row>
    <row r="30" spans="1:13" x14ac:dyDescent="0.2">
      <c r="A30" s="26" t="s">
        <v>209</v>
      </c>
      <c r="B30" s="145">
        <v>143</v>
      </c>
      <c r="C30" s="145">
        <v>142.69999999999999</v>
      </c>
      <c r="D30" s="145">
        <v>139.47499999999999</v>
      </c>
      <c r="E30" s="145">
        <v>156.02500000000001</v>
      </c>
      <c r="F30" s="145">
        <v>132.30000000000001</v>
      </c>
      <c r="G30" s="145">
        <v>137.01644172062151</v>
      </c>
      <c r="H30" s="145">
        <v>140.65</v>
      </c>
      <c r="I30" s="89"/>
      <c r="J30" s="90"/>
      <c r="M30" s="87"/>
    </row>
    <row r="31" spans="1:13" x14ac:dyDescent="0.2">
      <c r="A31" s="30" t="s">
        <v>223</v>
      </c>
      <c r="B31" s="88">
        <v>148</v>
      </c>
      <c r="C31" s="88">
        <v>145.32499999999999</v>
      </c>
      <c r="D31" s="88">
        <v>144.15</v>
      </c>
      <c r="E31" s="88">
        <v>159.02500000000001</v>
      </c>
      <c r="F31" s="88">
        <v>135.52499999999998</v>
      </c>
      <c r="G31" s="88">
        <v>137.87634414864957</v>
      </c>
      <c r="H31" s="88">
        <v>143.64999999999998</v>
      </c>
      <c r="I31" s="89"/>
      <c r="J31" s="90"/>
    </row>
    <row r="32" spans="1:13" ht="12.75" customHeight="1" x14ac:dyDescent="0.2">
      <c r="A32" s="8" t="s">
        <v>297</v>
      </c>
      <c r="B32" s="87"/>
      <c r="C32" s="87"/>
      <c r="D32" s="87"/>
      <c r="E32" s="87"/>
      <c r="F32" s="87"/>
      <c r="H32" s="87"/>
      <c r="I32" s="24"/>
      <c r="J32" s="24"/>
    </row>
    <row r="33" spans="1:10" x14ac:dyDescent="0.2">
      <c r="A33" s="182" t="s">
        <v>298</v>
      </c>
      <c r="B33" s="24"/>
      <c r="C33" s="24"/>
      <c r="D33" s="24"/>
      <c r="E33" s="24"/>
      <c r="F33" s="24"/>
      <c r="G33" s="24"/>
      <c r="H33" s="24"/>
      <c r="I33" s="89"/>
      <c r="J33" s="90"/>
    </row>
    <row r="34" spans="1:10" x14ac:dyDescent="0.2">
      <c r="A34" s="1"/>
      <c r="B34" s="1"/>
      <c r="I34" s="89"/>
      <c r="J34" s="90"/>
    </row>
    <row r="35" spans="1:10" x14ac:dyDescent="0.2">
      <c r="I35" s="89"/>
      <c r="J35" s="90"/>
    </row>
    <row r="36" spans="1:10" x14ac:dyDescent="0.2">
      <c r="I36" s="89"/>
      <c r="J36" s="90"/>
    </row>
    <row r="37" spans="1:10" x14ac:dyDescent="0.2">
      <c r="I37" s="89"/>
      <c r="J37" s="90"/>
    </row>
    <row r="38" spans="1:10" x14ac:dyDescent="0.2">
      <c r="I38" s="89"/>
      <c r="J38" s="90"/>
    </row>
    <row r="39" spans="1:10" x14ac:dyDescent="0.2">
      <c r="I39" s="89"/>
      <c r="J39" s="90"/>
    </row>
    <row r="40" spans="1:10" x14ac:dyDescent="0.2">
      <c r="I40" s="89"/>
      <c r="J40" s="90"/>
    </row>
    <row r="41" spans="1:10" x14ac:dyDescent="0.2">
      <c r="I41" s="89"/>
      <c r="J41" s="90"/>
    </row>
    <row r="42" spans="1:10" x14ac:dyDescent="0.2">
      <c r="I42" s="89"/>
      <c r="J42" s="90"/>
    </row>
    <row r="43" spans="1:10" x14ac:dyDescent="0.2">
      <c r="I43" s="89"/>
      <c r="J43" s="90"/>
    </row>
    <row r="44" spans="1:10" x14ac:dyDescent="0.2">
      <c r="I44" s="89"/>
      <c r="J44" s="90"/>
    </row>
    <row r="45" spans="1:10" ht="27" customHeight="1" x14ac:dyDescent="0.2">
      <c r="I45" s="89"/>
      <c r="J45" s="90"/>
    </row>
    <row r="46" spans="1:10" x14ac:dyDescent="0.2">
      <c r="I46" s="89"/>
      <c r="J46" s="90"/>
    </row>
    <row r="47" spans="1:10" x14ac:dyDescent="0.2">
      <c r="I47" s="89"/>
      <c r="J47" s="90"/>
    </row>
    <row r="51" spans="12:13" x14ac:dyDescent="0.2">
      <c r="L51" s="89"/>
      <c r="M51" s="90"/>
    </row>
    <row r="52" spans="12:13" x14ac:dyDescent="0.2">
      <c r="L52" s="91"/>
      <c r="M52" s="90"/>
    </row>
    <row r="53" spans="12:13" x14ac:dyDescent="0.2">
      <c r="L53" s="91"/>
    </row>
    <row r="54" spans="12:13" x14ac:dyDescent="0.2">
      <c r="L54" s="91"/>
    </row>
    <row r="55" spans="12:13" x14ac:dyDescent="0.2">
      <c r="L55" s="91"/>
    </row>
    <row r="56" spans="12:13" x14ac:dyDescent="0.2">
      <c r="L56" s="91"/>
    </row>
    <row r="57" spans="12:13" x14ac:dyDescent="0.2">
      <c r="L57" s="91"/>
    </row>
    <row r="58" spans="12:13" x14ac:dyDescent="0.2">
      <c r="L58" s="91"/>
    </row>
    <row r="59" spans="12:13" x14ac:dyDescent="0.2">
      <c r="L59" s="91"/>
    </row>
    <row r="60" spans="12:13" x14ac:dyDescent="0.2">
      <c r="L60" s="91"/>
    </row>
  </sheetData>
  <mergeCells count="2">
    <mergeCell ref="A2:H2"/>
    <mergeCell ref="B4:H4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33"/>
  <sheetViews>
    <sheetView workbookViewId="0">
      <selection activeCell="F18" sqref="F18"/>
    </sheetView>
  </sheetViews>
  <sheetFormatPr defaultColWidth="8.7109375" defaultRowHeight="12.75" x14ac:dyDescent="0.2"/>
  <cols>
    <col min="1" max="11" width="8.7109375" style="31"/>
    <col min="12" max="12" width="10.5703125" style="31" bestFit="1" customWidth="1"/>
    <col min="13" max="16384" width="8.7109375" style="31"/>
  </cols>
  <sheetData>
    <row r="1" spans="1:20" ht="12.6" customHeight="1" x14ac:dyDescent="0.2"/>
    <row r="2" spans="1:20" x14ac:dyDescent="0.2">
      <c r="A2" s="92" t="s">
        <v>295</v>
      </c>
      <c r="B2" s="92"/>
      <c r="C2" s="92"/>
      <c r="D2" s="92"/>
      <c r="E2" s="92"/>
      <c r="F2" s="92"/>
      <c r="G2" s="92"/>
      <c r="H2" s="92"/>
      <c r="I2" s="92"/>
    </row>
    <row r="3" spans="1:20" x14ac:dyDescent="0.2">
      <c r="A3" s="211" t="s">
        <v>38</v>
      </c>
    </row>
    <row r="4" spans="1:20" x14ac:dyDescent="0.2">
      <c r="A4" s="211"/>
      <c r="B4" s="85" t="s">
        <v>20</v>
      </c>
      <c r="C4" s="85" t="s">
        <v>34</v>
      </c>
      <c r="D4" s="85" t="s">
        <v>33</v>
      </c>
      <c r="E4" s="85" t="s">
        <v>23</v>
      </c>
      <c r="F4" s="85" t="s">
        <v>24</v>
      </c>
      <c r="G4" s="85" t="s">
        <v>92</v>
      </c>
      <c r="H4" s="85" t="s">
        <v>26</v>
      </c>
      <c r="I4" s="85" t="s">
        <v>93</v>
      </c>
    </row>
    <row r="5" spans="1:20" x14ac:dyDescent="0.2">
      <c r="A5" s="217" t="s">
        <v>182</v>
      </c>
      <c r="B5" s="217"/>
      <c r="C5" s="217"/>
      <c r="D5" s="217"/>
      <c r="E5" s="217"/>
      <c r="F5" s="217"/>
      <c r="G5" s="217"/>
      <c r="H5" s="217"/>
      <c r="I5" s="217"/>
    </row>
    <row r="6" spans="1:20" x14ac:dyDescent="0.2">
      <c r="A6" s="31" t="s">
        <v>76</v>
      </c>
      <c r="B6" s="86">
        <v>848.91315308951744</v>
      </c>
      <c r="C6" s="86">
        <v>365.08582366689058</v>
      </c>
      <c r="D6" s="86">
        <v>518.00069692634088</v>
      </c>
      <c r="E6" s="86">
        <v>104.55507546316332</v>
      </c>
      <c r="F6" s="86">
        <v>303.22901147096565</v>
      </c>
      <c r="G6" s="86">
        <v>55.792870105667198</v>
      </c>
      <c r="H6" s="86">
        <v>56.582210259591605</v>
      </c>
      <c r="I6" s="86">
        <v>27.183835897343698</v>
      </c>
      <c r="L6" s="149"/>
      <c r="M6" s="149"/>
      <c r="N6" s="149"/>
      <c r="O6" s="149"/>
      <c r="P6" s="149"/>
      <c r="Q6" s="149"/>
      <c r="R6" s="149"/>
      <c r="S6" s="149"/>
      <c r="T6" s="149"/>
    </row>
    <row r="7" spans="1:20" x14ac:dyDescent="0.2">
      <c r="A7" s="31" t="s">
        <v>77</v>
      </c>
      <c r="B7" s="86">
        <v>777.88003817418314</v>
      </c>
      <c r="C7" s="86">
        <v>424.52821748495063</v>
      </c>
      <c r="D7" s="86">
        <v>518.31017153805021</v>
      </c>
      <c r="E7" s="86">
        <v>99.472747549820099</v>
      </c>
      <c r="F7" s="86">
        <v>260.27872713802043</v>
      </c>
      <c r="G7" s="86">
        <v>58.280859637333094</v>
      </c>
      <c r="H7" s="86">
        <v>50.266600600760114</v>
      </c>
      <c r="I7" s="86">
        <v>20.857838669639776</v>
      </c>
      <c r="L7" s="149"/>
      <c r="M7" s="149"/>
      <c r="N7" s="149"/>
      <c r="O7" s="149"/>
      <c r="P7" s="149"/>
      <c r="Q7" s="149"/>
      <c r="R7" s="149"/>
      <c r="S7" s="149"/>
    </row>
    <row r="8" spans="1:20" x14ac:dyDescent="0.2">
      <c r="A8" s="31" t="s">
        <v>78</v>
      </c>
      <c r="B8" s="86">
        <v>783.12144420447794</v>
      </c>
      <c r="C8" s="86">
        <v>416.77664995260989</v>
      </c>
      <c r="D8" s="86">
        <v>457.1937006095618</v>
      </c>
      <c r="E8" s="86">
        <v>98.351033207549506</v>
      </c>
      <c r="F8" s="86">
        <v>303.50143110311643</v>
      </c>
      <c r="G8" s="86">
        <v>43.581649961111552</v>
      </c>
      <c r="H8" s="86">
        <v>31.851035199266455</v>
      </c>
      <c r="I8" s="86">
        <v>29.367302729772558</v>
      </c>
      <c r="L8" s="149"/>
      <c r="M8" s="149"/>
      <c r="N8" s="149"/>
      <c r="O8" s="149"/>
      <c r="P8" s="149"/>
      <c r="Q8" s="149"/>
      <c r="R8" s="149"/>
      <c r="S8" s="149"/>
    </row>
    <row r="9" spans="1:20" x14ac:dyDescent="0.2">
      <c r="A9" s="31" t="s">
        <v>79</v>
      </c>
      <c r="B9" s="86">
        <v>787.57537506965377</v>
      </c>
      <c r="C9" s="86">
        <v>398.30355804587833</v>
      </c>
      <c r="D9" s="86">
        <v>556.32123622129018</v>
      </c>
      <c r="E9" s="86">
        <v>105.81119189074566</v>
      </c>
      <c r="F9" s="86">
        <v>302.33559021321588</v>
      </c>
      <c r="G9" s="86">
        <v>50.411474993662395</v>
      </c>
      <c r="H9" s="86">
        <v>37.634773572854854</v>
      </c>
      <c r="I9" s="86">
        <v>17.258561191608411</v>
      </c>
      <c r="L9" s="149"/>
      <c r="M9" s="149"/>
      <c r="N9" s="149"/>
      <c r="O9" s="149"/>
      <c r="P9" s="149"/>
      <c r="Q9" s="149"/>
      <c r="R9" s="149"/>
      <c r="S9" s="149"/>
    </row>
    <row r="10" spans="1:20" x14ac:dyDescent="0.2">
      <c r="A10" s="31" t="s">
        <v>80</v>
      </c>
      <c r="B10" s="86">
        <v>810.5198189541984</v>
      </c>
      <c r="C10" s="86">
        <v>348.36146849141971</v>
      </c>
      <c r="D10" s="86">
        <v>548.75465155244569</v>
      </c>
      <c r="E10" s="86">
        <v>125.7622629932923</v>
      </c>
      <c r="F10" s="86">
        <v>281.76839373498001</v>
      </c>
      <c r="G10" s="86">
        <v>47.309966734319516</v>
      </c>
      <c r="H10" s="86">
        <v>35.926685329669525</v>
      </c>
      <c r="I10" s="86">
        <v>15.504690423315896</v>
      </c>
      <c r="L10" s="149"/>
      <c r="M10" s="149"/>
      <c r="N10" s="149"/>
      <c r="O10" s="149"/>
      <c r="P10" s="149"/>
      <c r="Q10" s="149"/>
      <c r="R10" s="149"/>
      <c r="S10" s="149"/>
    </row>
    <row r="11" spans="1:20" x14ac:dyDescent="0.2">
      <c r="A11" s="31" t="s">
        <v>81</v>
      </c>
      <c r="B11" s="86">
        <v>750.70010253982957</v>
      </c>
      <c r="C11" s="86">
        <v>329.82555744491987</v>
      </c>
      <c r="D11" s="86">
        <v>569.15040868599215</v>
      </c>
      <c r="E11" s="86">
        <v>126.7900844203848</v>
      </c>
      <c r="F11" s="86">
        <v>303.38563220358623</v>
      </c>
      <c r="G11" s="86">
        <v>66.288940218111719</v>
      </c>
      <c r="H11" s="86">
        <v>38.121573751869605</v>
      </c>
      <c r="I11" s="86">
        <v>13.650494629421697</v>
      </c>
      <c r="L11" s="149"/>
      <c r="M11" s="149"/>
      <c r="N11" s="149"/>
      <c r="O11" s="149"/>
      <c r="P11" s="149"/>
      <c r="Q11" s="149"/>
      <c r="R11" s="149"/>
      <c r="S11" s="149"/>
    </row>
    <row r="12" spans="1:20" x14ac:dyDescent="0.2">
      <c r="A12" s="31" t="s">
        <v>82</v>
      </c>
      <c r="B12" s="86">
        <v>757.03603555856057</v>
      </c>
      <c r="C12" s="86">
        <v>355.52974965280345</v>
      </c>
      <c r="D12" s="86">
        <v>661.18242658353995</v>
      </c>
      <c r="E12" s="86">
        <v>109.54698168573776</v>
      </c>
      <c r="F12" s="86">
        <v>361.92080687409253</v>
      </c>
      <c r="G12" s="86">
        <v>63.504053322671609</v>
      </c>
      <c r="H12" s="86">
        <v>47.975991082287173</v>
      </c>
      <c r="I12" s="86">
        <v>15.449444023194651</v>
      </c>
      <c r="L12" s="149"/>
      <c r="M12" s="149"/>
      <c r="N12" s="149"/>
      <c r="O12" s="149"/>
      <c r="P12" s="149"/>
      <c r="Q12" s="149"/>
      <c r="R12" s="149"/>
      <c r="S12" s="149"/>
    </row>
    <row r="13" spans="1:20" x14ac:dyDescent="0.2">
      <c r="A13" s="31" t="s">
        <v>83</v>
      </c>
      <c r="B13" s="86">
        <v>821.48996791328659</v>
      </c>
      <c r="C13" s="86">
        <v>393.41916773788353</v>
      </c>
      <c r="D13" s="86">
        <v>675.62055639835103</v>
      </c>
      <c r="E13" s="86">
        <v>123.923900523496</v>
      </c>
      <c r="F13" s="86">
        <v>350.97316902467236</v>
      </c>
      <c r="G13" s="86">
        <v>50.827623098257192</v>
      </c>
      <c r="H13" s="86">
        <v>37.447419948265114</v>
      </c>
      <c r="I13" s="86">
        <v>17.419935636878776</v>
      </c>
      <c r="L13" s="149"/>
      <c r="M13" s="149"/>
      <c r="N13" s="149"/>
      <c r="O13" s="149"/>
      <c r="P13" s="149"/>
      <c r="Q13" s="149"/>
      <c r="R13" s="149"/>
      <c r="S13" s="149"/>
    </row>
    <row r="14" spans="1:20" x14ac:dyDescent="0.2">
      <c r="A14" s="31" t="s">
        <v>84</v>
      </c>
      <c r="B14" s="86">
        <v>978.14075440602971</v>
      </c>
      <c r="C14" s="86">
        <v>384.72495879564008</v>
      </c>
      <c r="D14" s="86">
        <v>715.16438666592535</v>
      </c>
      <c r="E14" s="86">
        <v>156.06906097335573</v>
      </c>
      <c r="F14" s="86">
        <v>409.45828592452199</v>
      </c>
      <c r="G14" s="86">
        <v>48.756858057855425</v>
      </c>
      <c r="H14" s="86">
        <v>63.899974021166408</v>
      </c>
      <c r="I14" s="86">
        <v>12.644538638105463</v>
      </c>
      <c r="L14" s="149"/>
      <c r="M14" s="149"/>
      <c r="N14" s="149"/>
      <c r="O14" s="149"/>
      <c r="P14" s="149"/>
      <c r="Q14" s="149"/>
      <c r="R14" s="149"/>
      <c r="S14" s="149"/>
    </row>
    <row r="15" spans="1:20" x14ac:dyDescent="0.2">
      <c r="A15" s="31" t="s">
        <v>85</v>
      </c>
      <c r="B15" s="86">
        <v>947.49071552424732</v>
      </c>
      <c r="C15" s="86">
        <v>379.78402378556109</v>
      </c>
      <c r="D15" s="86">
        <v>826.21468453457919</v>
      </c>
      <c r="E15" s="86">
        <v>146.8675280793114</v>
      </c>
      <c r="F15" s="86">
        <v>396.21258209791813</v>
      </c>
      <c r="G15" s="86">
        <v>63.049459613071477</v>
      </c>
      <c r="H15" s="86">
        <v>42.139206368747573</v>
      </c>
      <c r="I15" s="86">
        <v>25.031219749502892</v>
      </c>
      <c r="L15" s="149"/>
      <c r="M15" s="149"/>
      <c r="N15" s="149"/>
      <c r="O15" s="149"/>
      <c r="P15" s="149"/>
      <c r="Q15" s="149"/>
      <c r="R15" s="149"/>
      <c r="S15" s="149"/>
    </row>
    <row r="16" spans="1:20" x14ac:dyDescent="0.2">
      <c r="A16" s="31" t="s">
        <v>86</v>
      </c>
      <c r="B16" s="86">
        <v>1007.9355441209444</v>
      </c>
      <c r="C16" s="86">
        <v>506.47934056793213</v>
      </c>
      <c r="D16" s="86">
        <v>858.42600560384005</v>
      </c>
      <c r="E16" s="86">
        <v>107.36898377971139</v>
      </c>
      <c r="F16" s="86">
        <v>336.64744202467233</v>
      </c>
      <c r="G16" s="86">
        <v>76.99856769322011</v>
      </c>
      <c r="H16" s="86">
        <v>76.553060069151329</v>
      </c>
      <c r="I16" s="86">
        <v>17.928826050665226</v>
      </c>
      <c r="L16" s="149"/>
      <c r="M16" s="149"/>
      <c r="N16" s="149"/>
      <c r="O16" s="149"/>
      <c r="P16" s="149"/>
      <c r="Q16" s="149"/>
      <c r="R16" s="149"/>
      <c r="S16" s="149"/>
    </row>
    <row r="17" spans="1:19" x14ac:dyDescent="0.2">
      <c r="A17" s="31" t="s">
        <v>87</v>
      </c>
      <c r="B17" s="86">
        <v>1075.2572307639859</v>
      </c>
      <c r="C17" s="86">
        <v>428.59439794943381</v>
      </c>
      <c r="D17" s="86">
        <v>1054.7367523774235</v>
      </c>
      <c r="E17" s="86">
        <v>121.7177387133576</v>
      </c>
      <c r="F17" s="86">
        <v>236.10756469584894</v>
      </c>
      <c r="G17" s="86">
        <v>64.366493914267295</v>
      </c>
      <c r="H17" s="86">
        <v>63.115904575065436</v>
      </c>
      <c r="I17" s="86">
        <v>16.626857698228275</v>
      </c>
      <c r="L17" s="149"/>
      <c r="M17" s="149"/>
      <c r="N17" s="149"/>
      <c r="O17" s="149"/>
      <c r="P17" s="149"/>
      <c r="Q17" s="149"/>
      <c r="R17" s="149"/>
      <c r="S17" s="149"/>
    </row>
    <row r="18" spans="1:19" x14ac:dyDescent="0.2">
      <c r="A18" s="31" t="s">
        <v>27</v>
      </c>
      <c r="B18" s="86">
        <v>944.39145467896299</v>
      </c>
      <c r="C18" s="86">
        <v>366.6040370915415</v>
      </c>
      <c r="D18" s="86">
        <v>1466.4890095825174</v>
      </c>
      <c r="E18" s="86">
        <v>112.02495381709736</v>
      </c>
      <c r="F18" s="86">
        <v>341.49851032809664</v>
      </c>
      <c r="G18" s="86">
        <v>83.748942086650885</v>
      </c>
      <c r="H18" s="86">
        <v>76.943447161873436</v>
      </c>
      <c r="I18" s="86">
        <v>17.779761390722427</v>
      </c>
      <c r="L18" s="149"/>
      <c r="M18" s="149"/>
      <c r="N18" s="149"/>
      <c r="O18" s="149"/>
      <c r="P18" s="149"/>
      <c r="Q18" s="149"/>
      <c r="R18" s="149"/>
      <c r="S18" s="149"/>
    </row>
    <row r="19" spans="1:19" x14ac:dyDescent="0.2">
      <c r="A19" s="31" t="s">
        <v>28</v>
      </c>
      <c r="B19" s="86">
        <v>1222.6855386337727</v>
      </c>
      <c r="C19" s="86">
        <v>353.08615938780952</v>
      </c>
      <c r="D19" s="86">
        <v>1487.6433301031134</v>
      </c>
      <c r="E19" s="86">
        <v>108.43073821910176</v>
      </c>
      <c r="F19" s="86">
        <v>422.23608297005165</v>
      </c>
      <c r="G19" s="86">
        <v>65.596883461569291</v>
      </c>
      <c r="H19" s="86">
        <v>75.296984268818576</v>
      </c>
      <c r="I19" s="86">
        <v>13.974970327074121</v>
      </c>
      <c r="L19" s="149"/>
      <c r="M19" s="149"/>
      <c r="N19" s="149"/>
      <c r="O19" s="149"/>
      <c r="P19" s="149"/>
      <c r="Q19" s="149"/>
      <c r="R19" s="149"/>
      <c r="S19" s="149"/>
    </row>
    <row r="20" spans="1:19" x14ac:dyDescent="0.2">
      <c r="A20" s="31" t="s">
        <v>29</v>
      </c>
      <c r="B20" s="86">
        <v>1282.2692509098895</v>
      </c>
      <c r="C20" s="86">
        <v>449.43296711048163</v>
      </c>
      <c r="D20" s="86">
        <v>830.14306424154222</v>
      </c>
      <c r="E20" s="86">
        <v>97.331311592433153</v>
      </c>
      <c r="F20" s="86">
        <v>405.36477164923906</v>
      </c>
      <c r="G20" s="86">
        <v>74.565410260016805</v>
      </c>
      <c r="H20" s="86">
        <v>90.653642365117733</v>
      </c>
      <c r="I20" s="86">
        <v>16.891641454576686</v>
      </c>
      <c r="L20" s="149"/>
      <c r="M20" s="149"/>
      <c r="N20" s="149"/>
      <c r="O20" s="149"/>
      <c r="P20" s="149"/>
      <c r="Q20" s="149"/>
      <c r="R20" s="149"/>
      <c r="S20" s="149"/>
    </row>
    <row r="21" spans="1:19" x14ac:dyDescent="0.2">
      <c r="A21" s="31" t="s">
        <v>30</v>
      </c>
      <c r="B21" s="86">
        <v>1191.4524558970875</v>
      </c>
      <c r="C21" s="86">
        <v>424.47118892352512</v>
      </c>
      <c r="D21" s="86">
        <v>646.31251752092749</v>
      </c>
      <c r="E21" s="86">
        <v>140.24792786126091</v>
      </c>
      <c r="F21" s="86">
        <v>391.4704825943686</v>
      </c>
      <c r="G21" s="86">
        <v>65.678245052202769</v>
      </c>
      <c r="H21" s="86">
        <v>84.558993566031987</v>
      </c>
      <c r="I21" s="86">
        <v>17.75431830118232</v>
      </c>
      <c r="L21" s="149"/>
      <c r="M21" s="149"/>
      <c r="N21" s="149"/>
      <c r="O21" s="149"/>
      <c r="P21" s="149"/>
      <c r="Q21" s="149"/>
      <c r="R21" s="149"/>
      <c r="S21" s="149"/>
    </row>
    <row r="22" spans="1:19" x14ac:dyDescent="0.2">
      <c r="A22" s="31" t="s">
        <v>31</v>
      </c>
      <c r="B22" s="86">
        <v>1260.9960155700621</v>
      </c>
      <c r="C22" s="86">
        <v>461.58548563118114</v>
      </c>
      <c r="D22" s="86">
        <v>949.835472183918</v>
      </c>
      <c r="E22" s="86">
        <v>114.86414708094227</v>
      </c>
      <c r="F22" s="86">
        <v>421.68389445332105</v>
      </c>
      <c r="G22" s="86">
        <v>69.119771797085946</v>
      </c>
      <c r="H22" s="86">
        <v>75.92789021369245</v>
      </c>
      <c r="I22" s="86">
        <v>16.896396283391606</v>
      </c>
      <c r="L22" s="149"/>
      <c r="M22" s="149"/>
      <c r="N22" s="149"/>
      <c r="O22" s="149"/>
      <c r="P22" s="149"/>
      <c r="Q22" s="149"/>
      <c r="R22" s="149"/>
      <c r="S22" s="149"/>
    </row>
    <row r="23" spans="1:19" x14ac:dyDescent="0.2">
      <c r="A23" s="31" t="s">
        <v>32</v>
      </c>
      <c r="B23" s="86">
        <v>1213.4742727707815</v>
      </c>
      <c r="C23" s="86">
        <v>758.76535604586684</v>
      </c>
      <c r="D23" s="86">
        <v>890.13363825443241</v>
      </c>
      <c r="E23" s="86">
        <v>125.55057355591141</v>
      </c>
      <c r="F23" s="86">
        <v>437.07258319204368</v>
      </c>
      <c r="G23" s="86">
        <v>77.128541123241618</v>
      </c>
      <c r="H23" s="86">
        <v>80.204328444405832</v>
      </c>
      <c r="I23" s="86">
        <v>22.463152602237241</v>
      </c>
      <c r="L23" s="149"/>
      <c r="M23" s="149"/>
      <c r="N23" s="149"/>
      <c r="O23" s="149"/>
      <c r="P23" s="149"/>
      <c r="Q23" s="149"/>
      <c r="R23" s="149"/>
      <c r="S23" s="149"/>
    </row>
    <row r="24" spans="1:19" x14ac:dyDescent="0.2">
      <c r="A24" s="31" t="s">
        <v>88</v>
      </c>
      <c r="B24" s="86">
        <v>951.47997884765141</v>
      </c>
      <c r="C24" s="86">
        <v>764.22214658085056</v>
      </c>
      <c r="D24" s="86">
        <v>922.92910076338705</v>
      </c>
      <c r="E24" s="86">
        <v>133.01596127960946</v>
      </c>
      <c r="F24" s="86">
        <v>493.85679349384077</v>
      </c>
      <c r="G24" s="86">
        <v>80.07679262879779</v>
      </c>
      <c r="H24" s="86">
        <v>69.175300722355445</v>
      </c>
      <c r="I24" s="86">
        <v>22.977722223895512</v>
      </c>
      <c r="L24" s="149"/>
      <c r="M24" s="149"/>
      <c r="N24" s="149"/>
      <c r="O24" s="149"/>
      <c r="P24" s="149"/>
      <c r="Q24" s="149"/>
      <c r="R24" s="149"/>
      <c r="S24" s="149"/>
    </row>
    <row r="25" spans="1:19" x14ac:dyDescent="0.2">
      <c r="A25" s="31" t="s">
        <v>89</v>
      </c>
      <c r="B25" s="86">
        <v>1089.7577358346527</v>
      </c>
      <c r="C25" s="86">
        <v>716.82078705068147</v>
      </c>
      <c r="D25" s="86">
        <v>909.56945720193141</v>
      </c>
      <c r="E25" s="86">
        <v>178.45865607862595</v>
      </c>
      <c r="F25" s="86">
        <v>474.70927333959111</v>
      </c>
      <c r="G25" s="86">
        <v>88.590660567948191</v>
      </c>
      <c r="H25" s="86">
        <v>27.977934250651085</v>
      </c>
      <c r="I25" s="86">
        <v>21.238993658596044</v>
      </c>
      <c r="L25" s="149"/>
      <c r="M25" s="149"/>
      <c r="N25" s="149"/>
      <c r="O25" s="149"/>
      <c r="P25" s="149"/>
      <c r="Q25" s="149"/>
      <c r="R25" s="149"/>
      <c r="S25" s="149"/>
    </row>
    <row r="26" spans="1:19" x14ac:dyDescent="0.2">
      <c r="A26" s="31" t="s">
        <v>90</v>
      </c>
      <c r="B26" s="86">
        <v>900.86453940593549</v>
      </c>
      <c r="C26" s="86">
        <v>822.57415830707271</v>
      </c>
      <c r="D26" s="86">
        <v>988.45068646750531</v>
      </c>
      <c r="E26" s="86">
        <v>374.7913556968677</v>
      </c>
      <c r="F26" s="86">
        <v>450.71569435757368</v>
      </c>
      <c r="G26" s="86">
        <v>84.554466373526694</v>
      </c>
      <c r="H26" s="86">
        <v>28.261240220386846</v>
      </c>
      <c r="I26" s="86">
        <v>38.680186829734907</v>
      </c>
      <c r="L26" s="149"/>
      <c r="M26" s="149"/>
      <c r="N26" s="149"/>
      <c r="O26" s="149"/>
      <c r="P26" s="149"/>
      <c r="Q26" s="149"/>
      <c r="R26" s="149"/>
      <c r="S26" s="149"/>
    </row>
    <row r="27" spans="1:19" x14ac:dyDescent="0.2">
      <c r="A27" s="31" t="s">
        <v>183</v>
      </c>
      <c r="B27" s="86">
        <v>1812.4771464276528</v>
      </c>
      <c r="C27" s="86">
        <v>694.70612431040831</v>
      </c>
      <c r="D27" s="86">
        <v>916.9244376315927</v>
      </c>
      <c r="E27" s="86">
        <v>411.30147454350777</v>
      </c>
      <c r="F27" s="86">
        <v>421.32666702437098</v>
      </c>
      <c r="G27" s="86">
        <v>88.194363429182673</v>
      </c>
      <c r="H27" s="86">
        <v>32.950983979199265</v>
      </c>
      <c r="I27" s="86">
        <v>30.529996592377433</v>
      </c>
      <c r="L27" s="149"/>
      <c r="M27" s="149"/>
      <c r="N27" s="149"/>
      <c r="O27" s="149"/>
      <c r="P27" s="149"/>
      <c r="Q27" s="149"/>
      <c r="R27" s="149"/>
      <c r="S27" s="149"/>
    </row>
    <row r="28" spans="1:19" x14ac:dyDescent="0.2">
      <c r="A28" s="31" t="s">
        <v>184</v>
      </c>
      <c r="B28" s="86">
        <v>1859.0577883479511</v>
      </c>
      <c r="C28" s="86">
        <v>759.36115289078475</v>
      </c>
      <c r="D28" s="86">
        <v>1073.3431467137957</v>
      </c>
      <c r="E28" s="86">
        <v>326.92868375890191</v>
      </c>
      <c r="F28" s="86">
        <v>456.51509879684039</v>
      </c>
      <c r="G28" s="86">
        <v>77.398268922204906</v>
      </c>
      <c r="H28" s="86">
        <v>40.416819673106787</v>
      </c>
      <c r="I28" s="86">
        <v>25.091445975851133</v>
      </c>
      <c r="L28" s="149"/>
      <c r="M28" s="149"/>
      <c r="N28" s="149"/>
      <c r="O28" s="149"/>
      <c r="P28" s="149"/>
      <c r="Q28" s="149"/>
      <c r="R28" s="149"/>
      <c r="S28" s="149"/>
    </row>
    <row r="29" spans="1:19" x14ac:dyDescent="0.2">
      <c r="A29" s="31" t="s">
        <v>209</v>
      </c>
      <c r="B29" s="86">
        <v>1466.0154813947606</v>
      </c>
      <c r="C29" s="86">
        <v>560.89011675981396</v>
      </c>
      <c r="D29" s="86">
        <v>1009.9781139068295</v>
      </c>
      <c r="E29" s="86">
        <v>239.09383912456988</v>
      </c>
      <c r="F29" s="86">
        <v>450.60222061272844</v>
      </c>
      <c r="G29" s="86">
        <v>83.820457919055499</v>
      </c>
      <c r="H29" s="86">
        <v>44.865409082504605</v>
      </c>
      <c r="I29" s="86">
        <v>24.925988491271678</v>
      </c>
      <c r="L29" s="149"/>
      <c r="M29" s="149"/>
      <c r="N29" s="149"/>
      <c r="O29" s="149"/>
      <c r="P29" s="149"/>
      <c r="Q29" s="149"/>
      <c r="R29" s="149"/>
      <c r="S29" s="149"/>
    </row>
    <row r="30" spans="1:19" x14ac:dyDescent="0.2">
      <c r="A30" s="31" t="s">
        <v>223</v>
      </c>
      <c r="B30" s="86">
        <v>1768.0393030441401</v>
      </c>
      <c r="C30" s="86">
        <v>654.16990438999994</v>
      </c>
      <c r="D30" s="86">
        <v>1203.3845994049998</v>
      </c>
      <c r="E30" s="86">
        <v>183.57941467000003</v>
      </c>
      <c r="F30" s="86">
        <v>366.15757100000002</v>
      </c>
      <c r="G30" s="86">
        <v>74.358842870000004</v>
      </c>
      <c r="H30" s="86">
        <v>63.684328661955035</v>
      </c>
      <c r="I30" s="86">
        <v>39.385912853045767</v>
      </c>
      <c r="L30" s="149"/>
      <c r="M30" s="149"/>
      <c r="N30" s="149"/>
      <c r="O30" s="149"/>
      <c r="P30" s="149"/>
      <c r="Q30" s="149"/>
      <c r="R30" s="149"/>
      <c r="S30" s="149"/>
    </row>
    <row r="31" spans="1:19" ht="51.6" customHeight="1" x14ac:dyDescent="0.2">
      <c r="A31" s="210" t="s">
        <v>401</v>
      </c>
      <c r="B31" s="210"/>
      <c r="C31" s="210"/>
      <c r="D31" s="210"/>
      <c r="E31" s="210"/>
      <c r="F31" s="210"/>
      <c r="G31" s="210"/>
      <c r="H31" s="210"/>
      <c r="I31" s="210"/>
    </row>
    <row r="32" spans="1:19" x14ac:dyDescent="0.2">
      <c r="A32" s="25" t="s">
        <v>299</v>
      </c>
    </row>
    <row r="33" spans="1:1" x14ac:dyDescent="0.2">
      <c r="A33" s="25" t="s">
        <v>19</v>
      </c>
    </row>
  </sheetData>
  <mergeCells count="3">
    <mergeCell ref="A3:A4"/>
    <mergeCell ref="A5:I5"/>
    <mergeCell ref="A31:I31"/>
  </mergeCells>
  <pageMargins left="0.7" right="0.7" top="0.75" bottom="0.75" header="0.3" footer="0.3"/>
  <pageSetup paperSize="9" orientation="portrait" r:id="rId1"/>
  <headerFooter>
    <oddHeader>&amp;C&amp;"Calibri"&amp;14&amp;KFF0000 OFFICIAL&amp;1#_x000D_</oddHeader>
    <oddFooter>&amp;C_x000D_&amp;1#&amp;"Calibri"&amp;14&amp;KFF0000 OFFICIAL</oddFooter>
  </headerFooter>
</worksheet>
</file>

<file path=docMetadata/LabelInfo.xml><?xml version="1.0" encoding="utf-8"?>
<clbl:labelList xmlns:clbl="http://schemas.microsoft.com/office/2020/mipLabelMetadata">
  <clbl:label id="{1e08a618-4c1e-4517-8ef1-59cb63d68e36}" enabled="1" method="Privileged" siteId="{aa21b640-bac2-456d-8505-f2cc07f51784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Index</vt:lpstr>
      <vt:lpstr>Table 4.1a-f</vt:lpstr>
      <vt:lpstr>Table 4.2</vt:lpstr>
      <vt:lpstr>Table 4.3</vt:lpstr>
      <vt:lpstr>Table 4.4</vt:lpstr>
      <vt:lpstr>Table 4.5</vt:lpstr>
      <vt:lpstr>Table 4.6a-c</vt:lpstr>
      <vt:lpstr>Table 4.7</vt:lpstr>
      <vt:lpstr>Table 4.8</vt:lpstr>
      <vt:lpstr>Table 4.9a-i</vt:lpstr>
      <vt:lpstr>Table 4.10a-i </vt:lpstr>
      <vt:lpstr>Table 4.11a-i</vt:lpstr>
      <vt:lpstr>Table 4.12</vt:lpstr>
      <vt:lpstr>Table 4.13</vt:lpstr>
      <vt:lpstr>'Table 4.10a-i '!Print_Area</vt:lpstr>
      <vt:lpstr>'Table 4.12'!Print_Area</vt:lpstr>
      <vt:lpstr>'Table 4.2'!Print_Area</vt:lpstr>
      <vt:lpstr>'Table 4.3'!Print_Area</vt:lpstr>
      <vt:lpstr>'Table 4.4'!Print_Area</vt:lpstr>
      <vt:lpstr>'Table 4.5'!Print_Area</vt:lpstr>
      <vt:lpstr>'Table 4.6a-c'!Print_Area</vt:lpstr>
      <vt:lpstr>'Table 4.7'!Print_Area</vt:lpstr>
      <vt:lpstr>'Table 4.8'!Print_Area</vt:lpstr>
      <vt:lpstr>'Table 4.9a-i'!Print_Area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2026-02-02T22:57:27Z</dcterms:modified>
</cp:coreProperties>
</file>